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naza1225\AppData\Local\Temp\Antura\20241104_111302_351847\"/>
    </mc:Choice>
  </mc:AlternateContent>
  <xr:revisionPtr revIDLastSave="0" documentId="13_ncr:1_{D3B0F2E7-90D0-417F-816B-F0A3DC14BA17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Blad1" sheetId="1" r:id="rId1"/>
  </sheets>
  <definedNames>
    <definedName name="_ftn1" localSheetId="0">Blad1!#REF!</definedName>
    <definedName name="_ftn2" localSheetId="0">Blad1!#REF!</definedName>
    <definedName name="_ftnref1" localSheetId="0">Blad1!#REF!</definedName>
    <definedName name="_ftnref2" localSheetId="0">Blad1!#REF!</definedName>
    <definedName name="_Hlk502657294" localSheetId="0">Blad1!$A$26</definedName>
    <definedName name="_Hlk504034660" localSheetId="0">Blad1!$A$193</definedName>
    <definedName name="_xlnm.Print_Area" localSheetId="0">Blad1!$A$1:$H$290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79" i="1" l="1"/>
  <c r="H278" i="1"/>
  <c r="H277" i="1"/>
  <c r="H273" i="1"/>
  <c r="H271" i="1"/>
  <c r="H270" i="1"/>
  <c r="H269" i="1"/>
  <c r="F262" i="1"/>
  <c r="H261" i="1"/>
  <c r="G261" i="1"/>
  <c r="H260" i="1"/>
  <c r="G260" i="1"/>
  <c r="F260" i="1"/>
  <c r="E260" i="1"/>
  <c r="H259" i="1"/>
  <c r="G259" i="1"/>
  <c r="F259" i="1"/>
  <c r="E259" i="1"/>
  <c r="H258" i="1"/>
  <c r="G258" i="1"/>
  <c r="F258" i="1"/>
  <c r="E258" i="1"/>
  <c r="H257" i="1"/>
  <c r="G257" i="1"/>
  <c r="F257" i="1"/>
  <c r="E257" i="1"/>
  <c r="H256" i="1"/>
  <c r="G256" i="1"/>
  <c r="F256" i="1"/>
  <c r="E256" i="1"/>
  <c r="G245" i="1"/>
  <c r="G239" i="1"/>
  <c r="G238" i="1"/>
  <c r="H230" i="1"/>
  <c r="G230" i="1"/>
  <c r="F230" i="1"/>
  <c r="E230" i="1"/>
  <c r="H229" i="1"/>
  <c r="F229" i="1"/>
  <c r="H228" i="1"/>
  <c r="F228" i="1"/>
  <c r="H227" i="1"/>
  <c r="F227" i="1"/>
  <c r="H226" i="1"/>
  <c r="F226" i="1"/>
  <c r="H225" i="1"/>
  <c r="F225" i="1"/>
  <c r="H224" i="1"/>
  <c r="F224" i="1"/>
  <c r="H219" i="1"/>
  <c r="G219" i="1"/>
  <c r="F219" i="1"/>
  <c r="E219" i="1"/>
  <c r="H218" i="1"/>
  <c r="F218" i="1"/>
  <c r="H217" i="1"/>
  <c r="F217" i="1"/>
  <c r="H216" i="1"/>
  <c r="F216" i="1"/>
  <c r="H215" i="1"/>
  <c r="F215" i="1"/>
  <c r="H214" i="1"/>
  <c r="F214" i="1"/>
  <c r="H208" i="1"/>
  <c r="G208" i="1"/>
  <c r="F208" i="1"/>
  <c r="E208" i="1"/>
  <c r="H207" i="1"/>
  <c r="F207" i="1"/>
  <c r="H206" i="1"/>
  <c r="F206" i="1"/>
  <c r="H205" i="1"/>
  <c r="F205" i="1"/>
  <c r="H200" i="1"/>
  <c r="G200" i="1"/>
  <c r="F200" i="1"/>
  <c r="E200" i="1"/>
  <c r="H199" i="1"/>
  <c r="F199" i="1"/>
  <c r="H198" i="1"/>
  <c r="E198" i="1"/>
  <c r="H197" i="1"/>
  <c r="F197" i="1"/>
  <c r="H196" i="1"/>
  <c r="F196" i="1"/>
  <c r="H195" i="1"/>
  <c r="F195" i="1"/>
  <c r="G42" i="1"/>
  <c r="G41" i="1"/>
  <c r="G4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Olsson</author>
  </authors>
  <commentList>
    <comment ref="A44" authorId="0" shapeId="0" xr:uid="{5F28570D-5333-4146-B731-5A076116CC55}">
      <text>
        <r>
          <rPr>
            <b/>
            <sz val="9"/>
            <rFont val="Calibri"/>
            <family val="2"/>
            <scheme val="minor"/>
          </rPr>
          <t>Maximalt 0,2 l/s, m</t>
        </r>
        <r>
          <rPr>
            <b/>
            <vertAlign val="superscript"/>
            <sz val="9"/>
            <rFont val="Calibri"/>
            <family val="2"/>
            <scheme val="minor"/>
          </rPr>
          <t>2</t>
        </r>
        <r>
          <rPr>
            <b/>
            <sz val="9"/>
            <rFont val="Calibri"/>
            <family val="2"/>
            <scheme val="minor"/>
          </rPr>
          <t xml:space="preserve"> enligt TKA</t>
        </r>
      </text>
    </comment>
    <comment ref="G94" authorId="0" shapeId="0" xr:uid="{1EE8A398-51CE-4F69-8E9D-272DD5AA5BF6}">
      <text>
        <r>
          <rPr>
            <b/>
            <sz val="9"/>
            <rFont val="Calibri"/>
            <family val="2"/>
            <scheme val="minor"/>
          </rPr>
          <t>Förifyllda värden får ändras vid behov.</t>
        </r>
      </text>
    </comment>
    <comment ref="A216" authorId="0" shapeId="0" xr:uid="{09D581B5-330A-4EFD-AA8C-06CF0D1FE553}">
      <text>
        <r>
          <rPr>
            <sz val="9"/>
            <rFont val="Tahoma"/>
            <family val="2"/>
          </rPr>
          <t>Interiör belysning ingående i fastighetsel enligt Svebys definition.</t>
        </r>
      </text>
    </comment>
    <comment ref="A217" authorId="0" shapeId="0" xr:uid="{2AB98B22-6B90-4887-8170-D11D1973CAC2}">
      <text>
        <r>
          <rPr>
            <sz val="9"/>
            <rFont val="Tahoma"/>
            <family val="2"/>
          </rPr>
          <t>Exteriör belysning ingående i fastighetsel enligt Svebys definition.</t>
        </r>
      </text>
    </comment>
    <comment ref="A224" authorId="0" shapeId="0" xr:uid="{D64C414D-8129-469A-97BC-86DAF1FF4302}">
      <text>
        <r>
          <rPr>
            <sz val="9"/>
            <rFont val="Tahoma"/>
            <family val="2"/>
          </rPr>
          <t>Interiör belysning ingående i verksamhets- och hushållsel enligt Svebys definition</t>
        </r>
      </text>
    </comment>
    <comment ref="A225" authorId="0" shapeId="0" xr:uid="{FE984272-451F-4D72-888D-B64A995545CE}">
      <text>
        <r>
          <rPr>
            <sz val="9"/>
            <rFont val="Tahoma"/>
            <family val="2"/>
          </rPr>
          <t>Exteriör belysning ingående i verksamhetsel enligt Svebys definition.</t>
        </r>
      </text>
    </comment>
    <comment ref="D254" authorId="0" shapeId="0" xr:uid="{57116443-99A5-4F39-88B5-CF6586D3D0C6}">
      <text>
        <r>
          <rPr>
            <sz val="9"/>
            <rFont val="Tahoma"/>
            <family val="2"/>
          </rPr>
          <t>Viktningsfaktor för energibärare enligt stycke 3.4.
Förifyllt värde ändras vid behov.</t>
        </r>
      </text>
    </comment>
  </commentList>
</comments>
</file>

<file path=xl/sharedStrings.xml><?xml version="1.0" encoding="utf-8"?>
<sst xmlns="http://schemas.openxmlformats.org/spreadsheetml/2006/main" count="564" uniqueCount="251">
  <si>
    <t>Förstudie</t>
  </si>
  <si>
    <t>Huvudhandling/systemhandling</t>
  </si>
  <si>
    <t>Förfrågningsunderlag</t>
  </si>
  <si>
    <t>Bygghandling</t>
  </si>
  <si>
    <t>Namn:</t>
  </si>
  <si>
    <t>Energi</t>
  </si>
  <si>
    <t>U</t>
  </si>
  <si>
    <t>q</t>
  </si>
  <si>
    <t>°C</t>
  </si>
  <si>
    <t>%</t>
  </si>
  <si>
    <t>Byggnadsdel</t>
  </si>
  <si>
    <t>Platta på mark</t>
  </si>
  <si>
    <t>W/m², K</t>
  </si>
  <si>
    <t>Yttervägg</t>
  </si>
  <si>
    <t>Yttertak</t>
  </si>
  <si>
    <t>Vindsbjälklag</t>
  </si>
  <si>
    <t>Fönster</t>
  </si>
  <si>
    <t>Dörrar</t>
  </si>
  <si>
    <t>Portar</t>
  </si>
  <si>
    <t>Kanaltryckfall tilluft</t>
  </si>
  <si>
    <t>Pa</t>
  </si>
  <si>
    <t>Kanaltryckfall frånluft</t>
  </si>
  <si>
    <t>SFP-tal</t>
  </si>
  <si>
    <t>Årsenergiverkningsgrad VVX</t>
  </si>
  <si>
    <t>Värme</t>
  </si>
  <si>
    <t>h/år</t>
  </si>
  <si>
    <t>Luftbehandling</t>
  </si>
  <si>
    <t>Belysning</t>
  </si>
  <si>
    <t>Tvättutrustning</t>
  </si>
  <si>
    <t>3.1.1 Energi till uppvärmning</t>
  </si>
  <si>
    <t>Objekt</t>
  </si>
  <si>
    <t>Fall 2</t>
  </si>
  <si>
    <t>Transmission och luftläckage</t>
  </si>
  <si>
    <t>Summa energibehov varmvatten</t>
  </si>
  <si>
    <t>Storköksutrustning</t>
  </si>
  <si>
    <t>Varukyla</t>
  </si>
  <si>
    <t>Klimatskalets luftläckage vid 50 Pa tryckskillnad</t>
  </si>
  <si>
    <t xml:space="preserve"> </t>
  </si>
  <si>
    <t>Exteriör belysning</t>
  </si>
  <si>
    <t>Projektinformation</t>
  </si>
  <si>
    <t>Vid 65 % av maxflöde i VAV-system</t>
  </si>
  <si>
    <t>Vid maxflöde i VAV-system</t>
  </si>
  <si>
    <t>Vid maxflöde i CAV-system</t>
  </si>
  <si>
    <t>P</t>
  </si>
  <si>
    <t>Energi- och inneklimatberäkning</t>
  </si>
  <si>
    <t>Relationshandling</t>
  </si>
  <si>
    <r>
      <t>Geografisk justeringsfaktor (F</t>
    </r>
    <r>
      <rPr>
        <vertAlign val="subscript"/>
        <sz val="11"/>
        <color rgb="FF000000"/>
        <rFont val="Calibri"/>
        <family val="2"/>
        <scheme val="minor"/>
      </rPr>
      <t>geo</t>
    </r>
    <r>
      <rPr>
        <sz val="11"/>
        <color rgb="FF000000"/>
        <rFont val="Calibri"/>
        <family val="2"/>
        <scheme val="minor"/>
      </rPr>
      <t>)</t>
    </r>
  </si>
  <si>
    <r>
      <t>Viktningsfaktor El (VF</t>
    </r>
    <r>
      <rPr>
        <vertAlign val="subscript"/>
        <sz val="11"/>
        <color rgb="FF000000"/>
        <rFont val="Calibri"/>
        <family val="2"/>
        <scheme val="minor"/>
      </rPr>
      <t>el</t>
    </r>
    <r>
      <rPr>
        <sz val="11"/>
        <color rgb="FF000000"/>
        <rFont val="Calibri"/>
        <family val="2"/>
        <scheme val="minor"/>
      </rPr>
      <t>)</t>
    </r>
  </si>
  <si>
    <r>
      <t>Viktningsfaktor Fjärrvärme (VF</t>
    </r>
    <r>
      <rPr>
        <vertAlign val="subscript"/>
        <sz val="11"/>
        <color rgb="FF000000"/>
        <rFont val="Calibri"/>
        <family val="2"/>
        <scheme val="minor"/>
      </rPr>
      <t>fjv</t>
    </r>
    <r>
      <rPr>
        <sz val="11"/>
        <color rgb="FF000000"/>
        <rFont val="Calibri"/>
        <family val="2"/>
        <scheme val="minor"/>
      </rPr>
      <t>)</t>
    </r>
  </si>
  <si>
    <t>…</t>
  </si>
  <si>
    <t>Utförare av energiberäkning:</t>
  </si>
  <si>
    <t>Beräkning utförd i projektskede:</t>
  </si>
  <si>
    <t>Datum:</t>
  </si>
  <si>
    <t>202x-xx-xx</t>
  </si>
  <si>
    <t>IDA ICE</t>
  </si>
  <si>
    <r>
      <t>kWh/m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>, år</t>
    </r>
  </si>
  <si>
    <r>
      <t>l/s, m</t>
    </r>
    <r>
      <rPr>
        <vertAlign val="superscript"/>
        <sz val="11"/>
        <color rgb="FF000000"/>
        <rFont val="Calibri"/>
        <family val="2"/>
        <scheme val="minor"/>
      </rPr>
      <t>2</t>
    </r>
  </si>
  <si>
    <r>
      <t>A</t>
    </r>
    <r>
      <rPr>
        <vertAlign val="subscript"/>
        <sz val="11"/>
        <color rgb="FF000000"/>
        <rFont val="Calibri"/>
        <family val="2"/>
        <scheme val="minor"/>
      </rPr>
      <t>temp</t>
    </r>
    <r>
      <rPr>
        <sz val="11"/>
        <color rgb="FF000000"/>
        <rFont val="Calibri"/>
        <family val="2"/>
        <scheme val="minor"/>
      </rPr>
      <t xml:space="preserve"> i beräkningsmodell</t>
    </r>
  </si>
  <si>
    <r>
      <t>m</t>
    </r>
    <r>
      <rPr>
        <vertAlign val="superscript"/>
        <sz val="11"/>
        <color rgb="FF000000"/>
        <rFont val="Calibri"/>
        <family val="2"/>
        <scheme val="minor"/>
      </rPr>
      <t>2</t>
    </r>
  </si>
  <si>
    <r>
      <t>kW/(m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/s)</t>
    </r>
  </si>
  <si>
    <t>Version:</t>
  </si>
  <si>
    <t>Dynamisk energiberäkning har utförts med programvara:</t>
  </si>
  <si>
    <t>Annan - ange vilken</t>
  </si>
  <si>
    <t>Köldbryggor har beräknats med programvara:</t>
  </si>
  <si>
    <t>Beräknad VVC-förlust (schablonvärde kan användas i tidigt skede)</t>
  </si>
  <si>
    <t>3.1.2 Energi till varmvatten</t>
  </si>
  <si>
    <t>Företag:</t>
  </si>
  <si>
    <r>
      <t>Omslutande byggnadsarea (A</t>
    </r>
    <r>
      <rPr>
        <vertAlign val="subscript"/>
        <sz val="11"/>
        <color rgb="FF000000"/>
        <rFont val="Calibri"/>
        <family val="2"/>
        <scheme val="minor"/>
      </rPr>
      <t>omsl</t>
    </r>
    <r>
      <rPr>
        <sz val="11"/>
        <color rgb="FF000000"/>
        <rFont val="Calibri"/>
        <family val="2"/>
        <scheme val="minor"/>
      </rPr>
      <t>)</t>
    </r>
  </si>
  <si>
    <t>Klimatort:</t>
  </si>
  <si>
    <t>Vindprofil:</t>
  </si>
  <si>
    <t>Väderfil:</t>
  </si>
  <si>
    <t>Göteborg - Säve</t>
  </si>
  <si>
    <t>SWE_GOTEBORG-SAVE_025120(IW2)</t>
  </si>
  <si>
    <t>Stadskärna (ASHRAE 1993)</t>
  </si>
  <si>
    <t>Tätort (ASHRAE 1993)</t>
  </si>
  <si>
    <t>Landsbygd (ASHRAE 1993)</t>
  </si>
  <si>
    <t>Slätt (ASHRAE 1993)</t>
  </si>
  <si>
    <t>Havsnära (ASHRAE 1993)</t>
  </si>
  <si>
    <t>4.8</t>
  </si>
  <si>
    <t>1.11</t>
  </si>
  <si>
    <t>1.12</t>
  </si>
  <si>
    <t>1. Instruktioner för beräkning och resultatpresentation</t>
  </si>
  <si>
    <t>2. Indata och förutsättningar</t>
  </si>
  <si>
    <t xml:space="preserve">2.1 Kortfattad projektbeskrivning  </t>
  </si>
  <si>
    <t>2.3 Ytor</t>
  </si>
  <si>
    <t>2.4 Luftläckage</t>
  </si>
  <si>
    <t>2.5 Köldbryggor</t>
  </si>
  <si>
    <t>2.7 Luftbehandlingssystem</t>
  </si>
  <si>
    <t>2.8 Inomhustemperatur</t>
  </si>
  <si>
    <t>2.9 Internlaster</t>
  </si>
  <si>
    <t>2.10 Nyttjande- och drifttider</t>
  </si>
  <si>
    <t>Fall 1</t>
  </si>
  <si>
    <t>Skola</t>
  </si>
  <si>
    <t>Undervisningslokaler</t>
  </si>
  <si>
    <t>Uppehållsrum</t>
  </si>
  <si>
    <t>Korridor och kapprum</t>
  </si>
  <si>
    <t>Matsal</t>
  </si>
  <si>
    <t>Gymnastiksal</t>
  </si>
  <si>
    <t>Rumstyp</t>
  </si>
  <si>
    <t>Förskola</t>
  </si>
  <si>
    <t>Avdelningar</t>
  </si>
  <si>
    <t>Kapprum utanför avdelning</t>
  </si>
  <si>
    <t>Lägenhet</t>
  </si>
  <si>
    <t>WC/D/Badrum</t>
  </si>
  <si>
    <t>Korridor utanför lägenhet och vistelseutrymmen för boende</t>
  </si>
  <si>
    <t>Verksamhetstyp</t>
  </si>
  <si>
    <t>Samtliga</t>
  </si>
  <si>
    <t>Vård och omsorgs-boende för äldre</t>
  </si>
  <si>
    <t>Bostad med särskild service</t>
  </si>
  <si>
    <t>Lägenheter</t>
  </si>
  <si>
    <t>Gemensamhetsutrymmen för boende</t>
  </si>
  <si>
    <t>Daglig verksamhet (dagcentral)</t>
  </si>
  <si>
    <t>Storkök</t>
  </si>
  <si>
    <t>Kontor</t>
  </si>
  <si>
    <t>Personalutrymmen</t>
  </si>
  <si>
    <t>WC i skola och förskola</t>
  </si>
  <si>
    <t>Bibliotek</t>
  </si>
  <si>
    <t>Samlingslokaler</t>
  </si>
  <si>
    <t>Omklädningsrum, duschrum</t>
  </si>
  <si>
    <t>Trivselbad</t>
  </si>
  <si>
    <t>Vindfång</t>
  </si>
  <si>
    <t>Avfallsutrymme</t>
  </si>
  <si>
    <t>Teknikutrymme (Fläktrum, UC mm)</t>
  </si>
  <si>
    <t>Förråd invändigt</t>
  </si>
  <si>
    <t>Förråd utvändigt</t>
  </si>
  <si>
    <t>Frostfritt</t>
  </si>
  <si>
    <t>Ouppvärmt</t>
  </si>
  <si>
    <r>
      <t>Viktningsfaktor för fasta, flytande och gasformiga biobränslen (VF</t>
    </r>
    <r>
      <rPr>
        <vertAlign val="subscript"/>
        <sz val="11"/>
        <color rgb="FF000000"/>
        <rFont val="Calibri"/>
        <family val="2"/>
        <scheme val="minor"/>
      </rPr>
      <t>bio</t>
    </r>
    <r>
      <rPr>
        <sz val="11"/>
        <color rgb="FF000000"/>
        <rFont val="Calibri"/>
        <family val="2"/>
        <scheme val="minor"/>
      </rPr>
      <t>)</t>
    </r>
  </si>
  <si>
    <r>
      <t>Total fönsterarea (A</t>
    </r>
    <r>
      <rPr>
        <vertAlign val="subscript"/>
        <sz val="11"/>
        <color rgb="FF000000"/>
        <rFont val="Calibri"/>
        <family val="2"/>
        <scheme val="minor"/>
      </rPr>
      <t>fönster</t>
    </r>
    <r>
      <rPr>
        <sz val="11"/>
        <color rgb="FF000000"/>
        <rFont val="Calibri"/>
        <family val="2"/>
        <scheme val="minor"/>
      </rPr>
      <t>)</t>
    </r>
  </si>
  <si>
    <r>
      <t>Andel fönsteryta (A</t>
    </r>
    <r>
      <rPr>
        <vertAlign val="subscript"/>
        <sz val="11"/>
        <color rgb="FF000000"/>
        <rFont val="Calibri"/>
        <family val="2"/>
        <scheme val="minor"/>
      </rPr>
      <t>fönster</t>
    </r>
    <r>
      <rPr>
        <sz val="11"/>
        <color rgb="FF000000"/>
        <rFont val="Calibri"/>
        <family val="2"/>
        <scheme val="minor"/>
      </rPr>
      <t xml:space="preserve"> / A</t>
    </r>
    <r>
      <rPr>
        <vertAlign val="subscript"/>
        <sz val="11"/>
        <color rgb="FF000000"/>
        <rFont val="Calibri"/>
        <family val="2"/>
        <scheme val="minor"/>
      </rPr>
      <t>temp</t>
    </r>
    <r>
      <rPr>
        <sz val="11"/>
        <color rgb="FF000000"/>
        <rFont val="Calibri"/>
        <family val="2"/>
        <scheme val="minor"/>
      </rPr>
      <t>)</t>
    </r>
  </si>
  <si>
    <t>2.2 U-värden</t>
  </si>
  <si>
    <t>Projektnamn:</t>
  </si>
  <si>
    <t>Projektnummer:</t>
  </si>
  <si>
    <t>Verksamhet:</t>
  </si>
  <si>
    <t>3. Beräknad energianvändning</t>
  </si>
  <si>
    <t>Kortfattad systembeskrivning:</t>
  </si>
  <si>
    <t>Summa fastighetsel</t>
  </si>
  <si>
    <t>Fläktar</t>
  </si>
  <si>
    <t>Pumpar</t>
  </si>
  <si>
    <t>Vädringspåslag</t>
  </si>
  <si>
    <t>Persontäthet</t>
  </si>
  <si>
    <t>Utrustning</t>
  </si>
  <si>
    <r>
      <t>[m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A</t>
    </r>
    <r>
      <rPr>
        <vertAlign val="subscript"/>
        <sz val="11"/>
        <color theme="1"/>
        <rFont val="Calibri"/>
        <family val="2"/>
        <scheme val="minor"/>
      </rPr>
      <t>temp</t>
    </r>
    <r>
      <rPr>
        <sz val="11"/>
        <color theme="1"/>
        <rFont val="Calibri"/>
        <family val="2"/>
        <scheme val="minor"/>
      </rPr>
      <t>/pers]</t>
    </r>
  </si>
  <si>
    <r>
      <t>[W/m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A</t>
    </r>
    <r>
      <rPr>
        <vertAlign val="subscript"/>
        <sz val="11"/>
        <color theme="1"/>
        <rFont val="Calibri"/>
        <family val="2"/>
        <scheme val="minor"/>
      </rPr>
      <t>temp</t>
    </r>
    <r>
      <rPr>
        <sz val="11"/>
        <color theme="1"/>
        <rFont val="Calibri"/>
        <family val="2"/>
        <scheme val="minor"/>
      </rPr>
      <t>]</t>
    </r>
  </si>
  <si>
    <r>
      <t>Formfaktor (A</t>
    </r>
    <r>
      <rPr>
        <vertAlign val="subscript"/>
        <sz val="11"/>
        <color rgb="FF000000"/>
        <rFont val="Calibri"/>
        <family val="2"/>
        <scheme val="minor"/>
      </rPr>
      <t>omsl</t>
    </r>
    <r>
      <rPr>
        <sz val="11"/>
        <color rgb="FF000000"/>
        <rFont val="Calibri"/>
        <family val="2"/>
        <scheme val="minor"/>
      </rPr>
      <t xml:space="preserve"> / A</t>
    </r>
    <r>
      <rPr>
        <vertAlign val="subscript"/>
        <sz val="11"/>
        <color rgb="FF000000"/>
        <rFont val="Calibri"/>
        <family val="2"/>
        <scheme val="minor"/>
      </rPr>
      <t>temp</t>
    </r>
    <r>
      <rPr>
        <sz val="11"/>
        <color rgb="FF000000"/>
        <rFont val="Calibri"/>
        <family val="2"/>
        <scheme val="minor"/>
      </rPr>
      <t>)</t>
    </r>
  </si>
  <si>
    <r>
      <t>Yteffektivitet (formfaktor*U</t>
    </r>
    <r>
      <rPr>
        <vertAlign val="subscript"/>
        <sz val="11"/>
        <color rgb="FF000000"/>
        <rFont val="Calibri"/>
        <family val="2"/>
        <scheme val="minor"/>
      </rPr>
      <t>m</t>
    </r>
    <r>
      <rPr>
        <sz val="11"/>
        <color rgb="FF000000"/>
        <rFont val="Calibri"/>
        <family val="2"/>
        <scheme val="minor"/>
      </rPr>
      <t>)</t>
    </r>
  </si>
  <si>
    <r>
      <t>Byggnadens genomsnittliga värmegenomgångskoefficient (U</t>
    </r>
    <r>
      <rPr>
        <vertAlign val="subscript"/>
        <sz val="11"/>
        <rFont val="Calibri"/>
        <family val="2"/>
        <scheme val="minor"/>
      </rPr>
      <t>m</t>
    </r>
    <r>
      <rPr>
        <sz val="11"/>
        <rFont val="Calibri"/>
        <family val="2"/>
        <scheme val="minor"/>
      </rPr>
      <t>)</t>
    </r>
  </si>
  <si>
    <r>
      <rPr>
        <sz val="11"/>
        <color rgb="FF000000"/>
        <rFont val="Calibri"/>
        <family val="2"/>
        <scheme val="minor"/>
      </rPr>
      <t>W/m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>, K</t>
    </r>
  </si>
  <si>
    <t>U-värde</t>
  </si>
  <si>
    <t>Bifogade bilagor</t>
  </si>
  <si>
    <t>Korridor som ej ingår i avdelning</t>
  </si>
  <si>
    <t>Tappvarmvatten (exkl. VVC-förlust)</t>
  </si>
  <si>
    <t>3.2 Elanvändning</t>
  </si>
  <si>
    <t>3.2.1 Fastighetsel</t>
  </si>
  <si>
    <t>Interiör belysning (fastighetsel)</t>
  </si>
  <si>
    <t>Exteriör belysning (fastighetsel)</t>
  </si>
  <si>
    <t>Interiör belysning (verksamhets- och hushållsel)</t>
  </si>
  <si>
    <t>Exteriör belysning (verksamhetsel)</t>
  </si>
  <si>
    <t>3.2.2 Användning av verksamhets- och hushållsel</t>
  </si>
  <si>
    <t>kWh/år</t>
  </si>
  <si>
    <t>Värmeåtervinning från kylmaskin</t>
  </si>
  <si>
    <t>Solvärme (solfångare)</t>
  </si>
  <si>
    <t>Metallpartier</t>
  </si>
  <si>
    <t>Interiör belysning</t>
  </si>
  <si>
    <t>2.6 Värmeproduktion, värmesystem och tappvarmvatten</t>
  </si>
  <si>
    <t>Verkningsgrad, värme</t>
  </si>
  <si>
    <t>COP</t>
  </si>
  <si>
    <t>Energibärare, värme</t>
  </si>
  <si>
    <t>Energibärare, tappvarmvatten</t>
  </si>
  <si>
    <t>Verkningsgrad, tappvarmvatten</t>
  </si>
  <si>
    <t>Fjärrvärme</t>
  </si>
  <si>
    <t>El</t>
  </si>
  <si>
    <t>Biobränsle</t>
  </si>
  <si>
    <t>Lägsta tillåtna avlufttemperatur</t>
  </si>
  <si>
    <t>Antal luftbehandlingssystem i byggnaden</t>
  </si>
  <si>
    <t>Luftbehandlingssystem 1</t>
  </si>
  <si>
    <t>Aggregatets betjäningsområde:</t>
  </si>
  <si>
    <t>Luftbehandlingssystem 2</t>
  </si>
  <si>
    <t>Luftbehandlingssystem 3</t>
  </si>
  <si>
    <t>&lt; välj &gt;</t>
  </si>
  <si>
    <t>&lt; välj energibärare &gt;</t>
  </si>
  <si>
    <t>&lt; välj enhet &gt;</t>
  </si>
  <si>
    <t>3.3 Egenproduktion och återvinning</t>
  </si>
  <si>
    <t>Solel använd som fastighetsenergi</t>
  </si>
  <si>
    <t>Solel använd som verksamhetsenergi</t>
  </si>
  <si>
    <t>Total solelproduktion</t>
  </si>
  <si>
    <t>Såld solel</t>
  </si>
  <si>
    <t>3.3.1 Solceller</t>
  </si>
  <si>
    <t>Årsproduktion</t>
  </si>
  <si>
    <t>Filnamn</t>
  </si>
  <si>
    <t xml:space="preserve">Systemenergirapport </t>
  </si>
  <si>
    <t>Indatarapport från energisimuleringsprogram</t>
  </si>
  <si>
    <t>Köpt energi-rapport från energisimuleringsprogram</t>
  </si>
  <si>
    <t>Summa verksamhets- och hushållsel</t>
  </si>
  <si>
    <t>4. Resultatredovisning</t>
  </si>
  <si>
    <t>4.1 Resultatsammanställning för beräkningsfall 1</t>
  </si>
  <si>
    <t>4.2 Resultatsammanställning för beräkningsfall 2</t>
  </si>
  <si>
    <t>Procentpåslag på UA-värde vid användande av schablon</t>
  </si>
  <si>
    <t>Årlig energi</t>
  </si>
  <si>
    <t>3.5 Summering av byggnadens energianvändning</t>
  </si>
  <si>
    <t>Energipost</t>
  </si>
  <si>
    <t>3.4 Justerings- och viktningsfaktorer för beräkning av primärenergital</t>
  </si>
  <si>
    <t>Viktningsfaktor</t>
  </si>
  <si>
    <r>
      <t>VF</t>
    </r>
    <r>
      <rPr>
        <vertAlign val="subscript"/>
        <sz val="11"/>
        <color rgb="FF000000"/>
        <rFont val="Calibri"/>
        <family val="2"/>
        <scheme val="minor"/>
      </rPr>
      <t>i</t>
    </r>
  </si>
  <si>
    <t>Överföringsförluster i luft- och värmesystem</t>
  </si>
  <si>
    <t>Återvunnen/egenproducerad värme nyttjad som fastighetsenergi</t>
  </si>
  <si>
    <t>Producerad el nyttjad som fastighetsenergi</t>
  </si>
  <si>
    <t>Energi för värmning av lokaler och ventilationsluft</t>
  </si>
  <si>
    <t>Energi för tappvarmvattenframställning</t>
  </si>
  <si>
    <t>Fastighetsel</t>
  </si>
  <si>
    <t>Summa årlig fastighetsenergianvändning</t>
  </si>
  <si>
    <t>Summa energi för uppvärmning</t>
  </si>
  <si>
    <t>3.1 Uppvärmning</t>
  </si>
  <si>
    <t>Termisk komfort</t>
  </si>
  <si>
    <t>IT-utrustning</t>
  </si>
  <si>
    <t>2.11 Storkök</t>
  </si>
  <si>
    <t>Antal portioner/dag som köket är dimensionerat för</t>
  </si>
  <si>
    <t>2.12 Varukyla</t>
  </si>
  <si>
    <t>2.13 Beräkningsprogram</t>
  </si>
  <si>
    <t>2.14 Klimatdata i beräkningsmodell</t>
  </si>
  <si>
    <r>
      <t>Primärenergital (EP</t>
    </r>
    <r>
      <rPr>
        <vertAlign val="subscript"/>
        <sz val="11"/>
        <color theme="1"/>
        <rFont val="Calibri"/>
        <family val="2"/>
        <scheme val="minor"/>
      </rPr>
      <t>pet</t>
    </r>
    <r>
      <rPr>
        <sz val="11"/>
        <color theme="1"/>
        <rFont val="Calibri"/>
        <family val="2"/>
        <scheme val="minor"/>
      </rPr>
      <t>)</t>
    </r>
  </si>
  <si>
    <t>Beräknat värde</t>
  </si>
  <si>
    <t>Kravnivå, BBR</t>
  </si>
  <si>
    <t>Kravnivå, TKA</t>
  </si>
  <si>
    <r>
      <t>Byggnadens primärenergital (</t>
    </r>
    <r>
      <rPr>
        <i/>
        <sz val="11"/>
        <color rgb="FF000000"/>
        <rFont val="Calibri"/>
        <family val="2"/>
        <scheme val="minor"/>
      </rPr>
      <t>EP</t>
    </r>
    <r>
      <rPr>
        <i/>
        <vertAlign val="subscript"/>
        <sz val="11"/>
        <color rgb="FF000000"/>
        <rFont val="Calibri"/>
        <family val="2"/>
        <scheme val="minor"/>
      </rPr>
      <t>pet</t>
    </r>
    <r>
      <rPr>
        <sz val="11"/>
        <color rgb="FF000000"/>
        <rFont val="Calibri"/>
        <family val="2"/>
        <scheme val="minor"/>
      </rPr>
      <t>) beräknat enligt BBR och BEN [kWh/m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 xml:space="preserve"> A</t>
    </r>
    <r>
      <rPr>
        <vertAlign val="subscript"/>
        <sz val="11"/>
        <color rgb="FF000000"/>
        <rFont val="Calibri"/>
        <family val="2"/>
        <scheme val="minor"/>
      </rPr>
      <t>temp</t>
    </r>
    <r>
      <rPr>
        <sz val="11"/>
        <color rgb="FF000000"/>
        <rFont val="Calibri"/>
        <family val="2"/>
        <scheme val="minor"/>
      </rPr>
      <t>, år]</t>
    </r>
  </si>
  <si>
    <t>Installerad eleffekt för uppvärmning [kW]</t>
  </si>
  <si>
    <r>
      <t>Genomsnittlig värmegenomgångskoefficient (</t>
    </r>
    <r>
      <rPr>
        <i/>
        <sz val="11"/>
        <color rgb="FF000000"/>
        <rFont val="Calibri"/>
        <family val="2"/>
        <scheme val="minor"/>
      </rPr>
      <t>U</t>
    </r>
    <r>
      <rPr>
        <i/>
        <vertAlign val="subscript"/>
        <sz val="11"/>
        <color rgb="FF000000"/>
        <rFont val="Calibri"/>
        <family val="2"/>
        <scheme val="minor"/>
      </rPr>
      <t>m</t>
    </r>
    <r>
      <rPr>
        <sz val="11"/>
        <color rgb="FF000000"/>
        <rFont val="Calibri"/>
        <family val="2"/>
        <scheme val="minor"/>
      </rPr>
      <t>) [W/m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>, K]</t>
    </r>
  </si>
  <si>
    <r>
      <t xml:space="preserve">Byggnadens beräknade </t>
    </r>
    <r>
      <rPr>
        <i/>
        <sz val="11"/>
        <color rgb="FF000000"/>
        <rFont val="Calibri"/>
        <family val="2"/>
        <scheme val="minor"/>
      </rPr>
      <t xml:space="preserve">specifika energianvändning </t>
    </r>
    <r>
      <rPr>
        <sz val="11"/>
        <color rgb="FF000000"/>
        <rFont val="Calibri"/>
        <family val="2"/>
        <scheme val="minor"/>
      </rPr>
      <t>baserat på projektspecifik indata [kWh/m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>, år]</t>
    </r>
  </si>
  <si>
    <r>
      <t>Tillförd effekt för uppvärmning vid dimensionerande utetemperatur [W/m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>]</t>
    </r>
  </si>
  <si>
    <t>≤10</t>
  </si>
  <si>
    <t>Andel av tiden som den operativa temperaturen överstiger 27°C i den värsta zonen [%]</t>
  </si>
  <si>
    <t>Termiskt klimat, sommar [PPD]</t>
  </si>
  <si>
    <r>
      <t>Genomsnittligt specifikt uteluftsflöde under uppvärmningssäsong (</t>
    </r>
    <r>
      <rPr>
        <i/>
        <sz val="11"/>
        <color rgb="FF000000"/>
        <rFont val="Calibri"/>
        <family val="2"/>
        <scheme val="minor"/>
      </rPr>
      <t>q</t>
    </r>
    <r>
      <rPr>
        <i/>
        <vertAlign val="subscript"/>
        <sz val="11"/>
        <color rgb="FF000000"/>
        <rFont val="Calibri"/>
        <family val="2"/>
        <scheme val="minor"/>
      </rPr>
      <t>medel</t>
    </r>
    <r>
      <rPr>
        <sz val="11"/>
        <color rgb="FF000000"/>
        <rFont val="Calibri"/>
        <family val="2"/>
        <scheme val="minor"/>
      </rPr>
      <t>) [l/s 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>]</t>
    </r>
  </si>
  <si>
    <r>
      <t>Maximalt specifikt uteluftsflöde vid DVUT (</t>
    </r>
    <r>
      <rPr>
        <i/>
        <sz val="11"/>
        <color rgb="FF000000"/>
        <rFont val="Calibri"/>
        <family val="2"/>
        <scheme val="minor"/>
      </rPr>
      <t>q</t>
    </r>
    <r>
      <rPr>
        <i/>
        <vertAlign val="subscript"/>
        <sz val="11"/>
        <color rgb="FF000000"/>
        <rFont val="Calibri"/>
        <family val="2"/>
        <scheme val="minor"/>
      </rPr>
      <t>max</t>
    </r>
    <r>
      <rPr>
        <sz val="11"/>
        <color rgb="FF000000"/>
        <rFont val="Calibri"/>
        <family val="2"/>
        <scheme val="minor"/>
      </rPr>
      <t>) [l/s 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>]</t>
    </r>
  </si>
  <si>
    <r>
      <t>Köpt energi för uppvärmning [kWh/m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år]</t>
    </r>
  </si>
  <si>
    <r>
      <t>Köpt fastighetsel [kWh/m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år]</t>
    </r>
  </si>
  <si>
    <t>Övrigt:</t>
  </si>
  <si>
    <t>3.3.2 Värme</t>
  </si>
  <si>
    <t>Metod för beräkning/antagande av köldbryggor:</t>
  </si>
  <si>
    <r>
      <rPr>
        <sz val="11"/>
        <color theme="9" tint="-0.24994659260841701"/>
        <rFont val="Calibri"/>
        <family val="2"/>
        <scheme val="minor"/>
      </rPr>
      <t>Gröna Obligationer:</t>
    </r>
    <r>
      <rPr>
        <sz val="11"/>
        <color rgb="FF000000"/>
        <rFont val="Calibri"/>
        <family val="2"/>
        <scheme val="minor"/>
      </rPr>
      <t xml:space="preserve"> Elenergi till fastighet (</t>
    </r>
    <r>
      <rPr>
        <i/>
        <sz val="11"/>
        <color rgb="FF000000"/>
        <rFont val="Calibri"/>
        <family val="2"/>
        <scheme val="minor"/>
      </rPr>
      <t>EP</t>
    </r>
    <r>
      <rPr>
        <i/>
        <vertAlign val="subscript"/>
        <sz val="11"/>
        <color rgb="FF000000"/>
        <rFont val="Calibri"/>
        <family val="2"/>
        <scheme val="minor"/>
      </rPr>
      <t>pet</t>
    </r>
    <r>
      <rPr>
        <sz val="11"/>
        <color rgb="FF000000"/>
        <rFont val="Calibri"/>
        <family val="2"/>
        <scheme val="minor"/>
      </rPr>
      <t>) [kWh/m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 xml:space="preserve"> A</t>
    </r>
    <r>
      <rPr>
        <vertAlign val="subscript"/>
        <sz val="11"/>
        <color rgb="FF000000"/>
        <rFont val="Calibri"/>
        <family val="2"/>
        <scheme val="minor"/>
      </rPr>
      <t>temp</t>
    </r>
    <r>
      <rPr>
        <sz val="11"/>
        <color rgb="FF000000"/>
        <rFont val="Calibri"/>
        <family val="2"/>
        <scheme val="minor"/>
      </rPr>
      <t>, år]</t>
    </r>
  </si>
  <si>
    <r>
      <rPr>
        <sz val="11"/>
        <color theme="9" tint="-0.24994659260841701"/>
        <rFont val="Calibri"/>
        <family val="2"/>
        <scheme val="minor"/>
      </rPr>
      <t>Gröna Obligationer:</t>
    </r>
    <r>
      <rPr>
        <sz val="11"/>
        <color rgb="FF000000"/>
        <rFont val="Calibri"/>
        <family val="2"/>
        <scheme val="minor"/>
      </rPr>
      <t xml:space="preserve"> Energi till uppvärmning (</t>
    </r>
    <r>
      <rPr>
        <i/>
        <sz val="11"/>
        <color rgb="FF000000"/>
        <rFont val="Calibri"/>
        <family val="2"/>
        <scheme val="minor"/>
      </rPr>
      <t>EP</t>
    </r>
    <r>
      <rPr>
        <i/>
        <vertAlign val="subscript"/>
        <sz val="11"/>
        <color rgb="FF000000"/>
        <rFont val="Calibri"/>
        <family val="2"/>
        <scheme val="minor"/>
      </rPr>
      <t>pet</t>
    </r>
    <r>
      <rPr>
        <sz val="11"/>
        <color rgb="FF000000"/>
        <rFont val="Calibri"/>
        <family val="2"/>
        <scheme val="minor"/>
      </rPr>
      <t>) [kWh/m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 xml:space="preserve"> A</t>
    </r>
    <r>
      <rPr>
        <vertAlign val="subscript"/>
        <sz val="11"/>
        <color rgb="FF000000"/>
        <rFont val="Calibri"/>
        <family val="2"/>
        <scheme val="minor"/>
      </rPr>
      <t>temp</t>
    </r>
    <r>
      <rPr>
        <sz val="11"/>
        <color rgb="FF000000"/>
        <rFont val="Calibri"/>
        <family val="2"/>
        <scheme val="minor"/>
      </rPr>
      <t>, år]</t>
    </r>
  </si>
  <si>
    <t>Övrig värmeåtervinning:</t>
  </si>
  <si>
    <r>
      <t xml:space="preserve">Energiberäkning ska utföras och presenteras som två parallella fall:
</t>
    </r>
    <r>
      <rPr>
        <b/>
        <sz val="12"/>
        <color theme="1"/>
        <rFont val="Calibri"/>
        <family val="2"/>
        <scheme val="minor"/>
      </rPr>
      <t>Fall 1</t>
    </r>
    <r>
      <rPr>
        <sz val="12"/>
        <color theme="1"/>
        <rFont val="Calibri"/>
        <family val="2"/>
        <scheme val="minor"/>
      </rPr>
      <t xml:space="preserve"> utförs helt enligt BBR och BEN och presenteras som primärenergital (</t>
    </r>
    <r>
      <rPr>
        <i/>
        <sz val="12"/>
        <color theme="1"/>
        <rFont val="Calibri"/>
        <family val="2"/>
        <scheme val="minor"/>
      </rPr>
      <t>EP</t>
    </r>
    <r>
      <rPr>
        <i/>
        <vertAlign val="subscript"/>
        <sz val="12"/>
        <color theme="1"/>
        <rFont val="Calibri"/>
        <family val="2"/>
        <scheme val="minor"/>
      </rPr>
      <t>pet</t>
    </r>
    <r>
      <rPr>
        <sz val="12"/>
        <color theme="1"/>
        <rFont val="Calibri"/>
        <family val="2"/>
        <scheme val="minor"/>
      </rPr>
      <t xml:space="preserve">).
</t>
    </r>
    <r>
      <rPr>
        <b/>
        <sz val="12"/>
        <color theme="1"/>
        <rFont val="Calibri"/>
        <family val="2"/>
        <scheme val="minor"/>
      </rPr>
      <t>Fall 2</t>
    </r>
    <r>
      <rPr>
        <sz val="12"/>
        <color theme="1"/>
        <rFont val="Calibri"/>
        <family val="2"/>
        <scheme val="minor"/>
      </rPr>
      <t xml:space="preserve"> ska syfta till att erhålla ett så verklighetsnära utfall som möjligt- och baseras i största möjliga mån på projektspecifik indata. Resultat redovisas som specifik energianvändning.
</t>
    </r>
    <r>
      <rPr>
        <u/>
        <sz val="12"/>
        <color theme="1"/>
        <rFont val="Calibri"/>
        <family val="2"/>
        <scheme val="minor"/>
      </rPr>
      <t>Gula fält ska ifyllas!</t>
    </r>
    <r>
      <rPr>
        <sz val="12"/>
        <color theme="1"/>
        <rFont val="Calibri"/>
        <family val="2"/>
        <scheme val="minor"/>
      </rPr>
      <t xml:space="preserve"> Förifyllda gula fält får ändras vid behov.</t>
    </r>
  </si>
  <si>
    <r>
      <t>kWh/m</t>
    </r>
    <r>
      <rPr>
        <vertAlign val="superscript"/>
        <sz val="11"/>
        <color theme="0" tint="-4.9958800012207406E-2"/>
        <rFont val="Calibri"/>
        <family val="2"/>
        <scheme val="minor"/>
      </rPr>
      <t>2</t>
    </r>
    <r>
      <rPr>
        <sz val="11"/>
        <color theme="0" tint="-4.9958800012207406E-2"/>
        <rFont val="Calibri"/>
        <family val="2"/>
        <scheme val="minor"/>
      </rPr>
      <t>, år</t>
    </r>
  </si>
  <si>
    <t>Energiberäkning godkänd av stadsfastighetsförvaltningens energisakkunnige:</t>
  </si>
  <si>
    <t>Lägenhetsförråd i egen byggnad</t>
  </si>
  <si>
    <t>Trapphus, öppet</t>
  </si>
  <si>
    <t>Trapphus, slutet</t>
  </si>
  <si>
    <t>Fullständig instruktion återfinns i TKA-dokument "RA-1843 -Anvisning och indata för energiberäkning".</t>
  </si>
  <si>
    <t>Blåsvädersgatan</t>
  </si>
  <si>
    <t>Fastighetsbeteckning: Biskopsgården 36:1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</si>
</sst>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yyyy/mm/dd;@"/>
    <numFmt numFmtId="167" formatCode="#,##0.0"/>
  </numFmts>
  <fonts count="4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2"/>
      <color theme="1"/>
      <name val="Times New Roman"/>
      <family val="1"/>
    </font>
    <font>
      <sz val="10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theme="1"/>
      <name val="Arial"/>
      <family val="2"/>
    </font>
    <font>
      <sz val="11"/>
      <color rgb="FF000000"/>
      <name val="Calibri"/>
      <family val="2"/>
      <scheme val="minor"/>
    </font>
    <font>
      <vertAlign val="subscript"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vertAlign val="superscript"/>
      <sz val="11"/>
      <color rgb="FF000000"/>
      <name val="Calibri"/>
      <family val="2"/>
      <scheme val="minor"/>
    </font>
    <font>
      <i/>
      <vertAlign val="subscript"/>
      <sz val="11"/>
      <color rgb="FF00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9"/>
      <name val="Tahoma"/>
      <family val="2"/>
    </font>
    <font>
      <b/>
      <sz val="9"/>
      <name val="Calibri"/>
      <family val="2"/>
      <scheme val="minor"/>
    </font>
    <font>
      <b/>
      <vertAlign val="superscript"/>
      <sz val="9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vertAlign val="subscript"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bscript"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theme="0" tint="-4.9958800012207406E-2"/>
      <name val="Calibri"/>
      <family val="2"/>
      <scheme val="minor"/>
    </font>
    <font>
      <sz val="11"/>
      <color theme="9" tint="-0.24994659260841701"/>
      <name val="Calibri"/>
      <family val="2"/>
      <scheme val="minor"/>
    </font>
    <font>
      <vertAlign val="superscript"/>
      <sz val="11"/>
      <color theme="0" tint="-4.9958800012207406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349955748161259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4.9958800012207406E-2"/>
        <bgColor indexed="64"/>
      </patternFill>
    </fill>
  </fills>
  <borders count="93">
    <border>
      <left/>
      <right/>
      <top/>
      <bottom/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 style="thin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/>
      <top style="thin">
        <color auto="1"/>
      </top>
      <bottom style="thin">
        <color theme="1" tint="0.34998626667073579"/>
      </bottom>
      <diagonal/>
    </border>
    <border>
      <left style="thin">
        <color theme="1" tint="0.34998626667073579"/>
      </left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 style="thin">
        <color auto="1"/>
      </top>
      <bottom style="thin">
        <color theme="1" tint="0.34998626667073579"/>
      </bottom>
      <diagonal/>
    </border>
    <border>
      <left/>
      <right style="medium">
        <color theme="1" tint="0.34998626667073579"/>
      </right>
      <top/>
      <bottom style="thin">
        <color theme="1" tint="0.34998626667073579"/>
      </bottom>
      <diagonal/>
    </border>
    <border>
      <left style="medium">
        <color theme="1" tint="0.34998626667073579"/>
      </left>
      <right/>
      <top/>
      <bottom/>
      <diagonal/>
    </border>
    <border>
      <left style="medium">
        <color theme="1" tint="0.34998626667073579"/>
      </left>
      <right/>
      <top/>
      <bottom style="thin">
        <color theme="1" tint="0.34998626667073579"/>
      </bottom>
      <diagonal/>
    </border>
    <border>
      <left style="medium">
        <color theme="1" tint="0.34998626667073579"/>
      </left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thin">
        <color auto="1"/>
      </left>
      <right/>
      <top style="thin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/>
      <top style="medium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/>
      <bottom/>
      <diagonal/>
    </border>
    <border>
      <left style="medium">
        <color theme="1" tint="0.34998626667073579"/>
      </left>
      <right/>
      <top style="medium">
        <color theme="1" tint="0.34998626667073579"/>
      </top>
      <bottom style="thin">
        <color theme="1" tint="0.34998626667073579"/>
      </bottom>
      <diagonal/>
    </border>
    <border>
      <left/>
      <right/>
      <top style="medium">
        <color theme="1" tint="0.34998626667073579"/>
      </top>
      <bottom style="thin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 style="medium">
        <color theme="1" tint="0.34998626667073579"/>
      </right>
      <top/>
      <bottom/>
      <diagonal/>
    </border>
    <border>
      <left style="thin">
        <color theme="1" tint="0.34998626667073579"/>
      </left>
      <right style="medium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thin">
        <color theme="1" tint="0.34998626667073579"/>
      </right>
      <top style="medium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theme="1" tint="0.34998626667073579"/>
      </right>
      <top style="thin">
        <color theme="1" tint="0.34998626667073579"/>
      </top>
      <bottom style="thin">
        <color auto="1"/>
      </bottom>
      <diagonal/>
    </border>
    <border>
      <left style="medium">
        <color theme="1" tint="0.3499862666707357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double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 style="thin">
        <color theme="1" tint="0.34998626667073579"/>
      </top>
      <bottom style="double">
        <color theme="1" tint="0.34998626667073579"/>
      </bottom>
      <diagonal/>
    </border>
    <border>
      <left style="thin">
        <color theme="1" tint="0.34998626667073579"/>
      </left>
      <right/>
      <top style="double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 style="double">
        <color theme="1" tint="0.34998626667073579"/>
      </top>
      <bottom style="thin">
        <color theme="1" tint="0.34998626667073579"/>
      </bottom>
      <diagonal/>
    </border>
    <border>
      <left style="medium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theme="1" tint="0.34998626667073579"/>
      </left>
      <right/>
      <top/>
      <bottom style="thin">
        <color auto="1"/>
      </bottom>
      <diagonal/>
    </border>
    <border>
      <left/>
      <right style="medium">
        <color theme="1" tint="0.34998626667073579"/>
      </right>
      <top/>
      <bottom style="thin">
        <color auto="1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/>
      <top style="thin">
        <color auto="1"/>
      </top>
      <bottom style="thin">
        <color auto="1"/>
      </bottom>
      <diagonal/>
    </border>
    <border>
      <left style="thin">
        <color theme="1" tint="0.34998626667073579"/>
      </left>
      <right/>
      <top style="thin">
        <color auto="1"/>
      </top>
      <bottom style="medium">
        <color theme="1" tint="0.34998626667073579"/>
      </bottom>
      <diagonal/>
    </border>
    <border>
      <left style="thin">
        <color theme="1" tint="0.34998626667073579"/>
      </left>
      <right/>
      <top style="medium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medium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/>
      <bottom style="medium">
        <color theme="1" tint="0.34998626667073579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 style="thin">
        <color theme="1" tint="0.34998626667073579"/>
      </left>
      <right style="medium">
        <color theme="1" tint="0.34998626667073579"/>
      </right>
      <top style="medium">
        <color theme="1" tint="0.34998626667073579"/>
      </top>
      <bottom/>
      <diagonal/>
    </border>
    <border>
      <left style="thin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 style="thin">
        <color auto="1"/>
      </top>
      <bottom style="thin">
        <color auto="1"/>
      </bottom>
      <diagonal/>
    </border>
    <border>
      <left style="thin">
        <color theme="1" tint="0.34998626667073579"/>
      </left>
      <right style="medium">
        <color theme="1" tint="0.34998626667073579"/>
      </right>
      <top style="thin">
        <color auto="1"/>
      </top>
      <bottom style="medium">
        <color theme="1" tint="0.34998626667073579"/>
      </bottom>
      <diagonal/>
    </border>
    <border>
      <left/>
      <right style="thin">
        <color theme="1" tint="0.34998626667073579"/>
      </right>
      <top/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/>
      <right style="thin">
        <color theme="1" tint="0.34998626667073579"/>
      </right>
      <top style="medium">
        <color theme="1" tint="0.34998626667073579"/>
      </top>
      <bottom/>
      <diagonal/>
    </border>
    <border>
      <left/>
      <right/>
      <top style="thin">
        <color theme="1" tint="0.34998626667073579"/>
      </top>
      <bottom style="thin">
        <color auto="1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auto="1"/>
      </bottom>
      <diagonal/>
    </border>
    <border>
      <left/>
      <right style="thin">
        <color theme="1" tint="0.34998626667073579"/>
      </right>
      <top style="medium">
        <color theme="1" tint="0.34998626667073579"/>
      </top>
      <bottom style="thin">
        <color theme="1" tint="0.34998626667073579"/>
      </bottom>
      <diagonal/>
    </border>
    <border>
      <left style="medium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theme="1" tint="0.34998626667073579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theme="1" tint="0.34998626667073579"/>
      </right>
      <top style="thin">
        <color auto="1"/>
      </top>
      <bottom/>
      <diagonal/>
    </border>
    <border>
      <left style="medium">
        <color theme="1" tint="0.34998626667073579"/>
      </left>
      <right/>
      <top style="thin">
        <color theme="1" tint="0.34998626667073579"/>
      </top>
      <bottom style="double">
        <color theme="1" tint="0.34998626667073579"/>
      </bottom>
      <diagonal/>
    </border>
    <border>
      <left/>
      <right/>
      <top style="thin">
        <color theme="1" tint="0.34998626667073579"/>
      </top>
      <bottom style="double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double">
        <color theme="1" tint="0.34998626667073579"/>
      </bottom>
      <diagonal/>
    </border>
    <border>
      <left style="medium">
        <color theme="1" tint="0.34998626667073579"/>
      </left>
      <right/>
      <top style="double">
        <color theme="1" tint="0.34998626667073579"/>
      </top>
      <bottom/>
      <diagonal/>
    </border>
    <border>
      <left/>
      <right/>
      <top style="double">
        <color theme="1" tint="0.34998626667073579"/>
      </top>
      <bottom/>
      <diagonal/>
    </border>
    <border>
      <left/>
      <right style="thin">
        <color theme="1" tint="0.34998626667073579"/>
      </right>
      <top style="double">
        <color theme="1" tint="0.34998626667073579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96">
    <xf numFmtId="0" fontId="0" fillId="0" borderId="0" xfId="0"/>
    <xf numFmtId="0" fontId="4" fillId="2" borderId="0" xfId="0" applyFont="1" applyFill="1" applyAlignment="1">
      <alignment vertical="center"/>
    </xf>
    <xf numFmtId="0" fontId="0" fillId="2" borderId="0" xfId="0" applyFill="1"/>
    <xf numFmtId="0" fontId="0" fillId="2" borderId="0" xfId="0" applyFill="1" applyBorder="1"/>
    <xf numFmtId="0" fontId="2" fillId="2" borderId="0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vertical="center" wrapText="1"/>
    </xf>
    <xf numFmtId="0" fontId="9" fillId="2" borderId="0" xfId="0" applyFont="1" applyFill="1"/>
    <xf numFmtId="0" fontId="9" fillId="0" borderId="0" xfId="0" applyFont="1"/>
    <xf numFmtId="0" fontId="1" fillId="2" borderId="0" xfId="0" applyFont="1" applyFill="1"/>
    <xf numFmtId="0" fontId="1" fillId="0" borderId="0" xfId="0" applyFont="1"/>
    <xf numFmtId="0" fontId="8" fillId="2" borderId="0" xfId="0" applyFont="1" applyFill="1" applyBorder="1" applyAlignment="1">
      <alignment vertical="center" wrapText="1"/>
    </xf>
    <xf numFmtId="0" fontId="9" fillId="2" borderId="0" xfId="0" applyFont="1" applyFill="1" applyBorder="1"/>
    <xf numFmtId="0" fontId="8" fillId="2" borderId="0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0" fontId="0" fillId="2" borderId="0" xfId="0" applyFont="1" applyFill="1"/>
    <xf numFmtId="0" fontId="16" fillId="2" borderId="0" xfId="0" applyFont="1" applyFill="1" applyAlignment="1">
      <alignment vertical="center"/>
    </xf>
    <xf numFmtId="0" fontId="0" fillId="2" borderId="0" xfId="0" applyFont="1" applyFill="1" applyAlignment="1">
      <alignment vertical="center"/>
    </xf>
    <xf numFmtId="0" fontId="0" fillId="0" borderId="0" xfId="0" applyFont="1"/>
    <xf numFmtId="0" fontId="12" fillId="2" borderId="0" xfId="0" applyFont="1" applyFill="1" applyAlignment="1">
      <alignment vertical="center"/>
    </xf>
    <xf numFmtId="0" fontId="17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vertical="center" wrapText="1"/>
    </xf>
    <xf numFmtId="0" fontId="12" fillId="2" borderId="0" xfId="0" applyFont="1" applyFill="1" applyBorder="1" applyAlignment="1">
      <alignment vertical="center" wrapText="1"/>
    </xf>
    <xf numFmtId="0" fontId="0" fillId="2" borderId="0" xfId="0" applyFont="1" applyFill="1" applyBorder="1"/>
    <xf numFmtId="0" fontId="12" fillId="2" borderId="0" xfId="0" applyFont="1" applyFill="1" applyBorder="1" applyAlignment="1">
      <alignment wrapText="1"/>
    </xf>
    <xf numFmtId="1" fontId="12" fillId="2" borderId="0" xfId="0" applyNumberFormat="1" applyFont="1" applyFill="1" applyBorder="1" applyAlignment="1">
      <alignment horizontal="right" wrapText="1"/>
    </xf>
    <xf numFmtId="0" fontId="12" fillId="2" borderId="0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wrapText="1"/>
    </xf>
    <xf numFmtId="0" fontId="12" fillId="2" borderId="2" xfId="0" applyFont="1" applyFill="1" applyBorder="1" applyAlignment="1">
      <alignment wrapText="1"/>
    </xf>
    <xf numFmtId="0" fontId="0" fillId="2" borderId="0" xfId="0" applyFont="1" applyFill="1" applyAlignment="1">
      <alignment vertical="center" wrapText="1"/>
    </xf>
    <xf numFmtId="0" fontId="0" fillId="2" borderId="0" xfId="0" applyFont="1" applyFill="1" applyAlignment="1"/>
    <xf numFmtId="0" fontId="12" fillId="2" borderId="0" xfId="0" applyFont="1" applyFill="1" applyBorder="1" applyAlignment="1">
      <alignment horizontal="center" wrapText="1"/>
    </xf>
    <xf numFmtId="0" fontId="0" fillId="0" borderId="0" xfId="0" applyFont="1" applyAlignment="1"/>
    <xf numFmtId="0" fontId="17" fillId="2" borderId="0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0" fontId="0" fillId="2" borderId="0" xfId="0" applyFill="1" applyAlignment="1"/>
    <xf numFmtId="0" fontId="29" fillId="2" borderId="0" xfId="0" applyFont="1" applyFill="1"/>
    <xf numFmtId="0" fontId="30" fillId="2" borderId="0" xfId="0" applyFont="1" applyFill="1"/>
    <xf numFmtId="0" fontId="30" fillId="2" borderId="0" xfId="0" applyFont="1" applyFill="1" applyAlignment="1"/>
    <xf numFmtId="0" fontId="30" fillId="2" borderId="0" xfId="0" applyFont="1" applyFill="1" applyBorder="1" applyAlignment="1">
      <alignment vertical="center" wrapText="1"/>
    </xf>
    <xf numFmtId="0" fontId="30" fillId="2" borderId="0" xfId="0" applyFont="1" applyFill="1" applyBorder="1" applyAlignment="1">
      <alignment wrapText="1"/>
    </xf>
    <xf numFmtId="0" fontId="30" fillId="2" borderId="3" xfId="0" applyFont="1" applyFill="1" applyBorder="1"/>
    <xf numFmtId="0" fontId="30" fillId="2" borderId="4" xfId="0" applyFont="1" applyFill="1" applyBorder="1"/>
    <xf numFmtId="0" fontId="30" fillId="2" borderId="5" xfId="0" applyFont="1" applyFill="1" applyBorder="1"/>
    <xf numFmtId="0" fontId="29" fillId="2" borderId="0" xfId="0" applyFont="1" applyFill="1" applyAlignment="1"/>
    <xf numFmtId="0" fontId="0" fillId="2" borderId="0" xfId="0" applyFont="1" applyFill="1" applyBorder="1" applyAlignment="1">
      <alignment wrapText="1"/>
    </xf>
    <xf numFmtId="0" fontId="12" fillId="2" borderId="6" xfId="0" applyFont="1" applyFill="1" applyBorder="1" applyAlignment="1">
      <alignment vertical="center" wrapText="1"/>
    </xf>
    <xf numFmtId="49" fontId="0" fillId="3" borderId="0" xfId="0" applyNumberFormat="1" applyFont="1" applyFill="1" applyBorder="1" applyAlignment="1">
      <alignment vertical="center"/>
    </xf>
    <xf numFmtId="164" fontId="12" fillId="3" borderId="0" xfId="0" applyNumberFormat="1" applyFont="1" applyFill="1" applyBorder="1" applyAlignment="1">
      <alignment horizontal="right" wrapText="1"/>
    </xf>
    <xf numFmtId="164" fontId="12" fillId="3" borderId="7" xfId="0" applyNumberFormat="1" applyFont="1" applyFill="1" applyBorder="1" applyAlignment="1">
      <alignment horizontal="right" wrapText="1"/>
    </xf>
    <xf numFmtId="1" fontId="12" fillId="3" borderId="8" xfId="0" applyNumberFormat="1" applyFont="1" applyFill="1" applyBorder="1" applyAlignment="1">
      <alignment horizontal="right" wrapText="1"/>
    </xf>
    <xf numFmtId="1" fontId="12" fillId="3" borderId="9" xfId="0" applyNumberFormat="1" applyFont="1" applyFill="1" applyBorder="1" applyAlignment="1">
      <alignment horizontal="right" wrapText="1"/>
    </xf>
    <xf numFmtId="1" fontId="12" fillId="3" borderId="10" xfId="0" applyNumberFormat="1" applyFont="1" applyFill="1" applyBorder="1" applyAlignment="1">
      <alignment horizontal="right" wrapText="1"/>
    </xf>
    <xf numFmtId="1" fontId="12" fillId="3" borderId="11" xfId="0" applyNumberFormat="1" applyFont="1" applyFill="1" applyBorder="1" applyAlignment="1">
      <alignment horizontal="right" wrapText="1"/>
    </xf>
    <xf numFmtId="2" fontId="12" fillId="3" borderId="10" xfId="0" applyNumberFormat="1" applyFont="1" applyFill="1" applyBorder="1" applyAlignment="1">
      <alignment horizontal="right"/>
    </xf>
    <xf numFmtId="2" fontId="12" fillId="3" borderId="12" xfId="0" applyNumberFormat="1" applyFont="1" applyFill="1" applyBorder="1" applyAlignment="1">
      <alignment horizontal="right"/>
    </xf>
    <xf numFmtId="165" fontId="12" fillId="3" borderId="13" xfId="0" applyNumberFormat="1" applyFont="1" applyFill="1" applyBorder="1" applyAlignment="1">
      <alignment horizontal="right"/>
    </xf>
    <xf numFmtId="165" fontId="12" fillId="3" borderId="10" xfId="0" applyNumberFormat="1" applyFont="1" applyFill="1" applyBorder="1" applyAlignment="1">
      <alignment horizontal="right"/>
    </xf>
    <xf numFmtId="165" fontId="12" fillId="3" borderId="14" xfId="0" applyNumberFormat="1" applyFont="1" applyFill="1" applyBorder="1" applyAlignment="1">
      <alignment horizontal="right"/>
    </xf>
    <xf numFmtId="0" fontId="12" fillId="2" borderId="15" xfId="0" applyFont="1" applyFill="1" applyBorder="1" applyAlignment="1"/>
    <xf numFmtId="0" fontId="12" fillId="2" borderId="2" xfId="0" applyFont="1" applyFill="1" applyBorder="1" applyAlignment="1"/>
    <xf numFmtId="0" fontId="12" fillId="2" borderId="1" xfId="0" applyFont="1" applyFill="1" applyBorder="1" applyAlignment="1"/>
    <xf numFmtId="0" fontId="12" fillId="2" borderId="1" xfId="0" applyFont="1" applyFill="1" applyBorder="1" applyAlignment="1">
      <alignment wrapText="1"/>
    </xf>
    <xf numFmtId="0" fontId="12" fillId="2" borderId="16" xfId="0" applyFont="1" applyFill="1" applyBorder="1" applyAlignment="1">
      <alignment wrapText="1"/>
    </xf>
    <xf numFmtId="0" fontId="0" fillId="2" borderId="0" xfId="0" applyFont="1" applyFill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29" fillId="2" borderId="0" xfId="0" applyFont="1" applyFill="1" applyBorder="1" applyAlignment="1">
      <alignment vertical="center" wrapText="1"/>
    </xf>
    <xf numFmtId="0" fontId="33" fillId="2" borderId="0" xfId="0" applyFont="1" applyFill="1" applyAlignment="1">
      <alignment vertical="center"/>
    </xf>
    <xf numFmtId="0" fontId="10" fillId="4" borderId="17" xfId="0" applyFont="1" applyFill="1" applyBorder="1"/>
    <xf numFmtId="0" fontId="17" fillId="4" borderId="0" xfId="0" applyFont="1" applyFill="1" applyBorder="1" applyAlignment="1">
      <alignment wrapText="1"/>
    </xf>
    <xf numFmtId="0" fontId="0" fillId="2" borderId="18" xfId="0" applyFill="1" applyBorder="1" applyAlignment="1"/>
    <xf numFmtId="0" fontId="0" fillId="2" borderId="19" xfId="0" applyFill="1" applyBorder="1" applyAlignment="1"/>
    <xf numFmtId="1" fontId="12" fillId="3" borderId="12" xfId="0" applyNumberFormat="1" applyFont="1" applyFill="1" applyBorder="1" applyAlignment="1">
      <alignment horizontal="right" wrapText="1"/>
    </xf>
    <xf numFmtId="0" fontId="12" fillId="2" borderId="20" xfId="0" applyFont="1" applyFill="1" applyBorder="1" applyAlignment="1">
      <alignment wrapText="1"/>
    </xf>
    <xf numFmtId="0" fontId="12" fillId="2" borderId="21" xfId="0" applyFont="1" applyFill="1" applyBorder="1" applyAlignment="1">
      <alignment wrapText="1"/>
    </xf>
    <xf numFmtId="0" fontId="0" fillId="2" borderId="18" xfId="0" applyFill="1" applyBorder="1" applyAlignment="1">
      <alignment wrapText="1"/>
    </xf>
    <xf numFmtId="0" fontId="0" fillId="2" borderId="22" xfId="0" applyFill="1" applyBorder="1" applyAlignment="1">
      <alignment wrapText="1"/>
    </xf>
    <xf numFmtId="0" fontId="0" fillId="2" borderId="19" xfId="0" applyFill="1" applyBorder="1" applyAlignment="1">
      <alignment wrapText="1"/>
    </xf>
    <xf numFmtId="0" fontId="12" fillId="2" borderId="19" xfId="0" applyFont="1" applyFill="1" applyBorder="1" applyAlignment="1">
      <alignment wrapText="1"/>
    </xf>
    <xf numFmtId="0" fontId="12" fillId="3" borderId="8" xfId="0" applyNumberFormat="1" applyFont="1" applyFill="1" applyBorder="1" applyAlignment="1">
      <alignment horizontal="right" wrapText="1"/>
    </xf>
    <xf numFmtId="0" fontId="12" fillId="3" borderId="12" xfId="0" applyNumberFormat="1" applyFont="1" applyFill="1" applyBorder="1" applyAlignment="1">
      <alignment horizontal="right" wrapText="1"/>
    </xf>
    <xf numFmtId="0" fontId="12" fillId="2" borderId="9" xfId="0" applyFont="1" applyFill="1" applyBorder="1" applyAlignment="1">
      <alignment wrapText="1"/>
    </xf>
    <xf numFmtId="0" fontId="2" fillId="2" borderId="0" xfId="0" applyFont="1" applyFill="1" applyBorder="1" applyAlignment="1">
      <alignment vertical="center" wrapText="1"/>
    </xf>
    <xf numFmtId="0" fontId="34" fillId="2" borderId="0" xfId="0" applyFont="1" applyFill="1" applyAlignment="1">
      <alignment vertical="top" wrapText="1"/>
    </xf>
    <xf numFmtId="0" fontId="34" fillId="2" borderId="0" xfId="0" applyFont="1" applyFill="1"/>
    <xf numFmtId="0" fontId="12" fillId="2" borderId="18" xfId="0" applyFont="1" applyFill="1" applyBorder="1" applyAlignment="1">
      <alignment wrapText="1"/>
    </xf>
    <xf numFmtId="0" fontId="12" fillId="2" borderId="6" xfId="0" applyFont="1" applyFill="1" applyBorder="1" applyAlignment="1">
      <alignment wrapText="1"/>
    </xf>
    <xf numFmtId="0" fontId="0" fillId="2" borderId="0" xfId="0" applyFont="1" applyFill="1" applyBorder="1" applyAlignment="1"/>
    <xf numFmtId="0" fontId="0" fillId="3" borderId="1" xfId="0" applyFont="1" applyFill="1" applyBorder="1" applyAlignment="1"/>
    <xf numFmtId="0" fontId="14" fillId="2" borderId="0" xfId="0" applyFont="1" applyFill="1" applyAlignment="1">
      <alignment vertical="center"/>
    </xf>
    <xf numFmtId="0" fontId="0" fillId="0" borderId="0" xfId="0" applyAlignment="1"/>
    <xf numFmtId="2" fontId="32" fillId="5" borderId="10" xfId="1" applyNumberFormat="1" applyFont="1" applyFill="1" applyBorder="1" applyAlignment="1">
      <alignment horizontal="right" wrapText="1"/>
    </xf>
    <xf numFmtId="2" fontId="32" fillId="5" borderId="12" xfId="1" applyNumberFormat="1" applyFont="1" applyFill="1" applyBorder="1" applyAlignment="1">
      <alignment horizontal="right" wrapText="1"/>
    </xf>
    <xf numFmtId="0" fontId="2" fillId="2" borderId="0" xfId="0" applyFont="1" applyFill="1" applyBorder="1" applyAlignment="1">
      <alignment vertical="center" wrapText="1"/>
    </xf>
    <xf numFmtId="0" fontId="0" fillId="2" borderId="0" xfId="0" applyFill="1" applyBorder="1" applyAlignment="1"/>
    <xf numFmtId="0" fontId="0" fillId="2" borderId="23" xfId="0" applyFill="1" applyBorder="1" applyAlignment="1"/>
    <xf numFmtId="0" fontId="0" fillId="2" borderId="8" xfId="0" applyFill="1" applyBorder="1" applyAlignment="1"/>
    <xf numFmtId="0" fontId="0" fillId="2" borderId="12" xfId="0" applyFill="1" applyBorder="1" applyAlignment="1"/>
    <xf numFmtId="0" fontId="0" fillId="2" borderId="24" xfId="0" applyFill="1" applyBorder="1" applyAlignment="1"/>
    <xf numFmtId="0" fontId="0" fillId="2" borderId="25" xfId="0" applyFill="1" applyBorder="1"/>
    <xf numFmtId="0" fontId="0" fillId="2" borderId="26" xfId="0" applyFill="1" applyBorder="1" applyAlignment="1">
      <alignment wrapText="1"/>
    </xf>
    <xf numFmtId="0" fontId="12" fillId="2" borderId="27" xfId="0" applyFont="1" applyFill="1" applyBorder="1" applyAlignment="1">
      <alignment wrapText="1"/>
    </xf>
    <xf numFmtId="0" fontId="12" fillId="2" borderId="28" xfId="0" applyFont="1" applyFill="1" applyBorder="1" applyAlignment="1">
      <alignment wrapText="1"/>
    </xf>
    <xf numFmtId="1" fontId="12" fillId="3" borderId="24" xfId="0" applyNumberFormat="1" applyFont="1" applyFill="1" applyBorder="1" applyAlignment="1">
      <alignment horizontal="right" wrapText="1"/>
    </xf>
    <xf numFmtId="0" fontId="12" fillId="2" borderId="25" xfId="0" applyFont="1" applyFill="1" applyBorder="1" applyAlignment="1">
      <alignment vertical="center"/>
    </xf>
    <xf numFmtId="0" fontId="12" fillId="2" borderId="8" xfId="0" applyFont="1" applyFill="1" applyBorder="1" applyAlignment="1">
      <alignment vertical="center" wrapText="1"/>
    </xf>
    <xf numFmtId="0" fontId="12" fillId="2" borderId="8" xfId="0" applyFont="1" applyFill="1" applyBorder="1" applyAlignment="1">
      <alignment wrapText="1"/>
    </xf>
    <xf numFmtId="0" fontId="30" fillId="2" borderId="0" xfId="0" applyFont="1" applyFill="1" applyBorder="1" applyAlignment="1">
      <alignment vertical="center"/>
    </xf>
    <xf numFmtId="0" fontId="0" fillId="2" borderId="0" xfId="0" applyFont="1" applyFill="1" applyBorder="1" applyAlignment="1">
      <alignment vertical="center"/>
    </xf>
    <xf numFmtId="0" fontId="0" fillId="2" borderId="8" xfId="0" applyFont="1" applyFill="1" applyBorder="1" applyAlignment="1">
      <alignment vertical="center"/>
    </xf>
    <xf numFmtId="0" fontId="0" fillId="0" borderId="0" xfId="0" applyFont="1" applyAlignment="1">
      <alignment vertical="center"/>
    </xf>
    <xf numFmtId="166" fontId="0" fillId="2" borderId="29" xfId="0" applyNumberFormat="1" applyFont="1" applyFill="1" applyBorder="1" applyAlignment="1">
      <alignment horizontal="center" vertical="center"/>
    </xf>
    <xf numFmtId="0" fontId="30" fillId="2" borderId="0" xfId="0" applyFont="1" applyFill="1" applyAlignment="1">
      <alignment vertical="center"/>
    </xf>
    <xf numFmtId="0" fontId="12" fillId="6" borderId="16" xfId="0" applyFont="1" applyFill="1" applyBorder="1" applyAlignment="1">
      <alignment horizontal="center"/>
    </xf>
    <xf numFmtId="0" fontId="12" fillId="6" borderId="2" xfId="0" applyFont="1" applyFill="1" applyBorder="1" applyAlignment="1">
      <alignment horizontal="center"/>
    </xf>
    <xf numFmtId="0" fontId="12" fillId="6" borderId="1" xfId="0" applyFont="1" applyFill="1" applyBorder="1" applyAlignment="1">
      <alignment horizontal="center"/>
    </xf>
    <xf numFmtId="0" fontId="17" fillId="2" borderId="0" xfId="0" applyFont="1" applyFill="1" applyBorder="1" applyAlignment="1"/>
    <xf numFmtId="165" fontId="17" fillId="2" borderId="0" xfId="0" applyNumberFormat="1" applyFont="1" applyFill="1" applyBorder="1" applyAlignment="1">
      <alignment wrapText="1"/>
    </xf>
    <xf numFmtId="0" fontId="24" fillId="4" borderId="17" xfId="0" applyFont="1" applyFill="1" applyBorder="1" applyAlignment="1">
      <alignment vertical="center"/>
    </xf>
    <xf numFmtId="0" fontId="10" fillId="4" borderId="17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29" fillId="2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0" fillId="2" borderId="0" xfId="0" applyFont="1" applyFill="1" applyAlignment="1"/>
    <xf numFmtId="0" fontId="10" fillId="0" borderId="0" xfId="0" applyFont="1" applyAlignment="1"/>
    <xf numFmtId="0" fontId="10" fillId="4" borderId="25" xfId="0" applyFont="1" applyFill="1" applyBorder="1" applyAlignment="1">
      <alignment vertical="center"/>
    </xf>
    <xf numFmtId="0" fontId="0" fillId="4" borderId="0" xfId="0" applyFont="1" applyFill="1" applyBorder="1" applyAlignment="1">
      <alignment horizontal="center" vertical="center"/>
    </xf>
    <xf numFmtId="166" fontId="0" fillId="2" borderId="0" xfId="0" applyNumberFormat="1" applyFont="1" applyFill="1" applyBorder="1" applyAlignment="1">
      <alignment horizontal="center" vertical="center"/>
    </xf>
    <xf numFmtId="0" fontId="0" fillId="4" borderId="30" xfId="0" applyFont="1" applyFill="1" applyBorder="1" applyAlignment="1">
      <alignment horizontal="center" vertical="center"/>
    </xf>
    <xf numFmtId="0" fontId="12" fillId="2" borderId="24" xfId="0" applyFont="1" applyFill="1" applyBorder="1" applyAlignment="1">
      <alignment wrapText="1"/>
    </xf>
    <xf numFmtId="0" fontId="0" fillId="4" borderId="17" xfId="0" applyFont="1" applyFill="1" applyBorder="1" applyAlignment="1">
      <alignment horizontal="center" vertical="center"/>
    </xf>
    <xf numFmtId="0" fontId="24" fillId="4" borderId="25" xfId="0" applyFont="1" applyFill="1" applyBorder="1" applyAlignment="1">
      <alignment vertical="center"/>
    </xf>
    <xf numFmtId="0" fontId="0" fillId="2" borderId="25" xfId="0" applyFill="1" applyBorder="1" applyAlignment="1"/>
    <xf numFmtId="0" fontId="0" fillId="2" borderId="12" xfId="0" applyFill="1" applyBorder="1" applyAlignment="1">
      <alignment wrapText="1"/>
    </xf>
    <xf numFmtId="0" fontId="0" fillId="2" borderId="8" xfId="0" applyFill="1" applyBorder="1" applyAlignment="1">
      <alignment wrapText="1"/>
    </xf>
    <xf numFmtId="0" fontId="12" fillId="2" borderId="14" xfId="0" applyFont="1" applyFill="1" applyBorder="1" applyAlignment="1">
      <alignment wrapText="1" readingOrder="1"/>
    </xf>
    <xf numFmtId="165" fontId="12" fillId="3" borderId="18" xfId="0" applyNumberFormat="1" applyFont="1" applyFill="1" applyBorder="1" applyAlignment="1">
      <alignment horizontal="center" wrapText="1"/>
    </xf>
    <xf numFmtId="165" fontId="12" fillId="3" borderId="8" xfId="0" applyNumberFormat="1" applyFont="1" applyFill="1" applyBorder="1" applyAlignment="1">
      <alignment horizontal="center" wrapText="1"/>
    </xf>
    <xf numFmtId="165" fontId="12" fillId="3" borderId="31" xfId="0" applyNumberFormat="1" applyFont="1" applyFill="1" applyBorder="1" applyAlignment="1">
      <alignment horizontal="center" wrapText="1"/>
    </xf>
    <xf numFmtId="165" fontId="12" fillId="3" borderId="19" xfId="0" applyNumberFormat="1" applyFont="1" applyFill="1" applyBorder="1" applyAlignment="1">
      <alignment horizontal="center" wrapText="1"/>
    </xf>
    <xf numFmtId="165" fontId="12" fillId="3" borderId="12" xfId="0" applyNumberFormat="1" applyFont="1" applyFill="1" applyBorder="1" applyAlignment="1">
      <alignment horizontal="center" wrapText="1"/>
    </xf>
    <xf numFmtId="165" fontId="12" fillId="3" borderId="32" xfId="0" applyNumberFormat="1" applyFont="1" applyFill="1" applyBorder="1" applyAlignment="1">
      <alignment horizontal="center" wrapText="1"/>
    </xf>
    <xf numFmtId="165" fontId="12" fillId="2" borderId="12" xfId="0" applyNumberFormat="1" applyFont="1" applyFill="1" applyBorder="1" applyAlignment="1">
      <alignment horizontal="center" wrapText="1"/>
    </xf>
    <xf numFmtId="165" fontId="12" fillId="2" borderId="5" xfId="0" applyNumberFormat="1" applyFont="1" applyFill="1" applyBorder="1" applyAlignment="1">
      <alignment horizontal="center" wrapText="1"/>
    </xf>
    <xf numFmtId="165" fontId="12" fillId="3" borderId="33" xfId="0" applyNumberFormat="1" applyFont="1" applyFill="1" applyBorder="1" applyAlignment="1">
      <alignment horizontal="center" wrapText="1"/>
    </xf>
    <xf numFmtId="165" fontId="12" fillId="2" borderId="34" xfId="0" applyNumberFormat="1" applyFont="1" applyFill="1" applyBorder="1" applyAlignment="1">
      <alignment horizontal="center" wrapText="1"/>
    </xf>
    <xf numFmtId="165" fontId="12" fillId="3" borderId="22" xfId="0" applyNumberFormat="1" applyFont="1" applyFill="1" applyBorder="1" applyAlignment="1">
      <alignment horizontal="center" wrapText="1"/>
    </xf>
    <xf numFmtId="165" fontId="12" fillId="3" borderId="35" xfId="0" applyNumberFormat="1" applyFont="1" applyFill="1" applyBorder="1" applyAlignment="1">
      <alignment horizontal="center" wrapText="1"/>
    </xf>
    <xf numFmtId="165" fontId="12" fillId="3" borderId="24" xfId="0" applyNumberFormat="1" applyFont="1" applyFill="1" applyBorder="1" applyAlignment="1">
      <alignment horizontal="center" wrapText="1"/>
    </xf>
    <xf numFmtId="165" fontId="12" fillId="3" borderId="36" xfId="0" applyNumberFormat="1" applyFont="1" applyFill="1" applyBorder="1" applyAlignment="1">
      <alignment horizontal="center" wrapText="1"/>
    </xf>
    <xf numFmtId="165" fontId="12" fillId="3" borderId="26" xfId="0" applyNumberFormat="1" applyFont="1" applyFill="1" applyBorder="1" applyAlignment="1">
      <alignment horizontal="center" wrapText="1"/>
    </xf>
    <xf numFmtId="165" fontId="12" fillId="2" borderId="8" xfId="0" applyNumberFormat="1" applyFont="1" applyFill="1" applyBorder="1" applyAlignment="1">
      <alignment horizontal="center" wrapText="1"/>
    </xf>
    <xf numFmtId="0" fontId="0" fillId="2" borderId="26" xfId="0" applyFill="1" applyBorder="1" applyAlignment="1"/>
    <xf numFmtId="0" fontId="12" fillId="2" borderId="26" xfId="0" applyFont="1" applyFill="1" applyBorder="1" applyAlignment="1">
      <alignment wrapText="1"/>
    </xf>
    <xf numFmtId="0" fontId="12" fillId="5" borderId="1" xfId="0" applyFont="1" applyFill="1" applyBorder="1" applyAlignment="1">
      <alignment wrapText="1"/>
    </xf>
    <xf numFmtId="0" fontId="12" fillId="5" borderId="16" xfId="0" applyFont="1" applyFill="1" applyBorder="1" applyAlignment="1">
      <alignment wrapText="1"/>
    </xf>
    <xf numFmtId="0" fontId="12" fillId="5" borderId="2" xfId="0" applyFont="1" applyFill="1" applyBorder="1" applyAlignment="1">
      <alignment wrapText="1"/>
    </xf>
    <xf numFmtId="165" fontId="32" fillId="5" borderId="8" xfId="1" applyNumberFormat="1" applyFont="1" applyFill="1" applyBorder="1" applyAlignment="1">
      <alignment horizontal="right" wrapText="1"/>
    </xf>
    <xf numFmtId="164" fontId="12" fillId="3" borderId="6" xfId="0" applyNumberFormat="1" applyFont="1" applyFill="1" applyBorder="1" applyAlignment="1">
      <alignment horizontal="right" wrapText="1"/>
    </xf>
    <xf numFmtId="164" fontId="12" fillId="3" borderId="37" xfId="0" applyNumberFormat="1" applyFont="1" applyFill="1" applyBorder="1" applyAlignment="1">
      <alignment horizontal="right" wrapText="1"/>
    </xf>
    <xf numFmtId="0" fontId="0" fillId="0" borderId="38" xfId="0" applyBorder="1"/>
    <xf numFmtId="0" fontId="12" fillId="0" borderId="9" xfId="0" applyFont="1" applyBorder="1" applyAlignment="1">
      <alignment wrapText="1"/>
    </xf>
    <xf numFmtId="164" fontId="12" fillId="3" borderId="9" xfId="0" applyNumberFormat="1" applyFont="1" applyFill="1" applyBorder="1" applyAlignment="1">
      <alignment horizontal="right" wrapText="1"/>
    </xf>
    <xf numFmtId="0" fontId="12" fillId="2" borderId="9" xfId="0" applyFont="1" applyFill="1" applyBorder="1" applyAlignment="1">
      <alignment horizontal="left" wrapText="1"/>
    </xf>
    <xf numFmtId="0" fontId="12" fillId="2" borderId="1" xfId="0" applyFont="1" applyFill="1" applyBorder="1" applyAlignment="1">
      <alignment horizontal="left" wrapText="1"/>
    </xf>
    <xf numFmtId="0" fontId="12" fillId="0" borderId="14" xfId="0" applyFont="1" applyBorder="1" applyAlignment="1">
      <alignment wrapText="1"/>
    </xf>
    <xf numFmtId="0" fontId="12" fillId="2" borderId="29" xfId="0" applyFont="1" applyFill="1" applyBorder="1" applyAlignment="1">
      <alignment horizontal="left" wrapText="1"/>
    </xf>
    <xf numFmtId="0" fontId="12" fillId="2" borderId="39" xfId="0" applyFont="1" applyFill="1" applyBorder="1" applyAlignment="1">
      <alignment horizontal="left" wrapText="1"/>
    </xf>
    <xf numFmtId="0" fontId="12" fillId="2" borderId="16" xfId="0" applyFont="1" applyFill="1" applyBorder="1" applyAlignment="1">
      <alignment horizontal="left" wrapText="1"/>
    </xf>
    <xf numFmtId="0" fontId="12" fillId="2" borderId="2" xfId="0" applyFont="1" applyFill="1" applyBorder="1" applyAlignment="1">
      <alignment horizontal="left" wrapText="1"/>
    </xf>
    <xf numFmtId="0" fontId="17" fillId="4" borderId="11" xfId="0" applyFont="1" applyFill="1" applyBorder="1" applyAlignment="1">
      <alignment wrapText="1"/>
    </xf>
    <xf numFmtId="1" fontId="0" fillId="3" borderId="0" xfId="0" applyNumberFormat="1" applyFont="1" applyFill="1" applyBorder="1" applyAlignment="1">
      <alignment vertical="center"/>
    </xf>
    <xf numFmtId="0" fontId="17" fillId="4" borderId="40" xfId="0" applyFont="1" applyFill="1" applyBorder="1" applyAlignment="1">
      <alignment horizontal="center" vertical="center"/>
    </xf>
    <xf numFmtId="49" fontId="0" fillId="3" borderId="41" xfId="0" applyNumberFormat="1" applyFont="1" applyFill="1" applyBorder="1" applyAlignment="1">
      <alignment vertical="center"/>
    </xf>
    <xf numFmtId="49" fontId="0" fillId="2" borderId="0" xfId="0" applyNumberFormat="1" applyFont="1" applyFill="1" applyBorder="1" applyAlignment="1">
      <alignment vertical="center"/>
    </xf>
    <xf numFmtId="166" fontId="0" fillId="3" borderId="5" xfId="0" applyNumberFormat="1" applyFont="1" applyFill="1" applyBorder="1" applyAlignment="1">
      <alignment horizontal="center" vertical="center"/>
    </xf>
    <xf numFmtId="49" fontId="0" fillId="3" borderId="6" xfId="0" applyNumberFormat="1" applyFont="1" applyFill="1" applyBorder="1" applyAlignment="1">
      <alignment vertical="center"/>
    </xf>
    <xf numFmtId="3" fontId="12" fillId="3" borderId="6" xfId="0" applyNumberFormat="1" applyFont="1" applyFill="1" applyBorder="1" applyAlignment="1">
      <alignment horizontal="right" wrapText="1"/>
    </xf>
    <xf numFmtId="3" fontId="12" fillId="3" borderId="37" xfId="0" applyNumberFormat="1" applyFont="1" applyFill="1" applyBorder="1" applyAlignment="1">
      <alignment horizontal="right" wrapText="1"/>
    </xf>
    <xf numFmtId="0" fontId="3" fillId="2" borderId="0" xfId="0" applyFont="1" applyFill="1" applyBorder="1" applyAlignment="1">
      <alignment horizontal="center" vertical="center" wrapText="1"/>
    </xf>
    <xf numFmtId="0" fontId="17" fillId="4" borderId="17" xfId="0" applyFont="1" applyFill="1" applyBorder="1" applyAlignment="1">
      <alignment wrapText="1"/>
    </xf>
    <xf numFmtId="0" fontId="17" fillId="4" borderId="0" xfId="0" applyFont="1" applyFill="1" applyBorder="1" applyAlignment="1">
      <alignment wrapText="1"/>
    </xf>
    <xf numFmtId="0" fontId="12" fillId="2" borderId="6" xfId="0" applyFont="1" applyFill="1" applyBorder="1" applyAlignment="1">
      <alignment wrapText="1"/>
    </xf>
    <xf numFmtId="0" fontId="12" fillId="2" borderId="37" xfId="0" applyFont="1" applyFill="1" applyBorder="1" applyAlignment="1">
      <alignment wrapText="1"/>
    </xf>
    <xf numFmtId="0" fontId="17" fillId="4" borderId="18" xfId="0" applyFont="1" applyFill="1" applyBorder="1" applyAlignment="1">
      <alignment wrapText="1"/>
    </xf>
    <xf numFmtId="0" fontId="17" fillId="4" borderId="6" xfId="0" applyFont="1" applyFill="1" applyBorder="1" applyAlignment="1">
      <alignment wrapText="1"/>
    </xf>
    <xf numFmtId="0" fontId="12" fillId="0" borderId="9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2" fillId="2" borderId="27" xfId="0" applyFont="1" applyFill="1" applyBorder="1" applyAlignment="1">
      <alignment wrapText="1"/>
    </xf>
    <xf numFmtId="0" fontId="12" fillId="2" borderId="17" xfId="0" applyFont="1" applyFill="1" applyBorder="1" applyAlignment="1">
      <alignment wrapText="1"/>
    </xf>
    <xf numFmtId="0" fontId="12" fillId="2" borderId="0" xfId="0" applyFont="1" applyFill="1" applyBorder="1" applyAlignment="1">
      <alignment wrapText="1"/>
    </xf>
    <xf numFmtId="0" fontId="12" fillId="2" borderId="37" xfId="0" applyFont="1" applyFill="1" applyBorder="1" applyAlignment="1"/>
    <xf numFmtId="0" fontId="12" fillId="2" borderId="9" xfId="0" applyFont="1" applyFill="1" applyBorder="1" applyAlignment="1"/>
    <xf numFmtId="0" fontId="12" fillId="2" borderId="20" xfId="0" applyFont="1" applyFill="1" applyBorder="1" applyAlignment="1"/>
    <xf numFmtId="0" fontId="12" fillId="2" borderId="39" xfId="0" applyFont="1" applyFill="1" applyBorder="1" applyAlignment="1">
      <alignment wrapText="1"/>
    </xf>
    <xf numFmtId="0" fontId="12" fillId="2" borderId="20" xfId="0" applyFont="1" applyFill="1" applyBorder="1" applyAlignment="1">
      <alignment wrapText="1"/>
    </xf>
    <xf numFmtId="0" fontId="0" fillId="3" borderId="17" xfId="0" applyFont="1" applyFill="1" applyBorder="1" applyAlignment="1">
      <alignment vertical="top"/>
    </xf>
    <xf numFmtId="0" fontId="0" fillId="3" borderId="0" xfId="0" applyFont="1" applyFill="1" applyBorder="1" applyAlignment="1">
      <alignment vertical="top"/>
    </xf>
    <xf numFmtId="0" fontId="0" fillId="3" borderId="30" xfId="0" applyFont="1" applyFill="1" applyBorder="1" applyAlignment="1">
      <alignment vertical="top"/>
    </xf>
    <xf numFmtId="0" fontId="0" fillId="2" borderId="0" xfId="0" applyFill="1" applyBorder="1" applyAlignment="1"/>
    <xf numFmtId="0" fontId="0" fillId="3" borderId="9" xfId="0" applyFont="1" applyFill="1" applyBorder="1" applyAlignment="1"/>
    <xf numFmtId="0" fontId="0" fillId="2" borderId="17" xfId="0" applyFont="1" applyFill="1" applyBorder="1" applyAlignment="1"/>
    <xf numFmtId="0" fontId="0" fillId="2" borderId="0" xfId="0" applyFont="1" applyFill="1" applyBorder="1" applyAlignment="1"/>
    <xf numFmtId="0" fontId="0" fillId="2" borderId="38" xfId="0" applyFont="1" applyFill="1" applyBorder="1" applyAlignment="1"/>
    <xf numFmtId="0" fontId="0" fillId="2" borderId="9" xfId="0" applyFont="1" applyFill="1" applyBorder="1" applyAlignment="1"/>
    <xf numFmtId="0" fontId="12" fillId="4" borderId="6" xfId="0" applyFont="1" applyFill="1" applyBorder="1" applyAlignment="1">
      <alignment horizontal="center" wrapText="1"/>
    </xf>
    <xf numFmtId="0" fontId="2" fillId="2" borderId="0" xfId="0" applyFont="1" applyFill="1" applyBorder="1" applyAlignment="1">
      <alignment horizontal="center" wrapText="1"/>
    </xf>
    <xf numFmtId="0" fontId="2" fillId="2" borderId="0" xfId="0" applyFont="1" applyFill="1" applyBorder="1" applyAlignment="1">
      <alignment wrapText="1"/>
    </xf>
    <xf numFmtId="0" fontId="12" fillId="4" borderId="16" xfId="0" applyFont="1" applyFill="1" applyBorder="1" applyAlignment="1">
      <alignment horizontal="center" wrapText="1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0" borderId="0" xfId="0" applyAlignment="1">
      <alignment vertical="center"/>
    </xf>
    <xf numFmtId="3" fontId="12" fillId="3" borderId="10" xfId="0" applyNumberFormat="1" applyFont="1" applyFill="1" applyBorder="1" applyAlignment="1">
      <alignment horizontal="center" vertical="center" wrapText="1"/>
    </xf>
    <xf numFmtId="3" fontId="12" fillId="4" borderId="10" xfId="0" applyNumberFormat="1" applyFont="1" applyFill="1" applyBorder="1" applyAlignment="1">
      <alignment horizontal="center" vertical="center" wrapText="1"/>
    </xf>
    <xf numFmtId="165" fontId="0" fillId="4" borderId="42" xfId="0" applyNumberFormat="1" applyFill="1" applyBorder="1" applyAlignment="1">
      <alignment horizontal="center" vertical="center"/>
    </xf>
    <xf numFmtId="165" fontId="0" fillId="3" borderId="42" xfId="0" applyNumberFormat="1" applyFill="1" applyBorder="1" applyAlignment="1">
      <alignment horizontal="center" vertical="center"/>
    </xf>
    <xf numFmtId="165" fontId="41" fillId="7" borderId="9" xfId="0" applyNumberFormat="1" applyFont="1" applyFill="1" applyBorder="1" applyAlignment="1">
      <alignment horizontal="center" vertical="center" wrapText="1"/>
    </xf>
    <xf numFmtId="165" fontId="41" fillId="7" borderId="1" xfId="0" applyNumberFormat="1" applyFont="1" applyFill="1" applyBorder="1" applyAlignment="1">
      <alignment horizontal="center" vertical="center" wrapText="1"/>
    </xf>
    <xf numFmtId="165" fontId="0" fillId="4" borderId="43" xfId="0" applyNumberFormat="1" applyFill="1" applyBorder="1" applyAlignment="1">
      <alignment horizontal="center" vertical="center"/>
    </xf>
    <xf numFmtId="3" fontId="12" fillId="3" borderId="11" xfId="0" applyNumberFormat="1" applyFont="1" applyFill="1" applyBorder="1" applyAlignment="1">
      <alignment horizontal="center" vertical="center" wrapText="1"/>
    </xf>
    <xf numFmtId="165" fontId="0" fillId="4" borderId="3" xfId="0" applyNumberFormat="1" applyFill="1" applyBorder="1" applyAlignment="1">
      <alignment horizontal="center" vertical="center"/>
    </xf>
    <xf numFmtId="0" fontId="12" fillId="2" borderId="0" xfId="0" applyFont="1" applyFill="1" applyBorder="1" applyAlignment="1">
      <alignment wrapText="1"/>
    </xf>
    <xf numFmtId="0" fontId="0" fillId="2" borderId="0" xfId="0" applyFont="1" applyFill="1" applyBorder="1" applyAlignment="1"/>
    <xf numFmtId="0" fontId="0" fillId="4" borderId="17" xfId="0" applyFont="1" applyFill="1" applyBorder="1" applyAlignment="1"/>
    <xf numFmtId="1" fontId="12" fillId="3" borderId="6" xfId="0" applyNumberFormat="1" applyFont="1" applyFill="1" applyBorder="1" applyAlignment="1">
      <alignment horizontal="right" wrapText="1"/>
    </xf>
    <xf numFmtId="1" fontId="12" fillId="3" borderId="37" xfId="0" applyNumberFormat="1" applyFont="1" applyFill="1" applyBorder="1" applyAlignment="1">
      <alignment horizontal="right" wrapText="1"/>
    </xf>
    <xf numFmtId="1" fontId="0" fillId="2" borderId="12" xfId="0" applyNumberFormat="1" applyFont="1" applyFill="1" applyBorder="1" applyAlignment="1"/>
    <xf numFmtId="0" fontId="12" fillId="2" borderId="44" xfId="0" applyFont="1" applyFill="1" applyBorder="1" applyAlignment="1">
      <alignment wrapText="1"/>
    </xf>
    <xf numFmtId="0" fontId="12" fillId="2" borderId="45" xfId="0" applyFont="1" applyFill="1" applyBorder="1" applyAlignment="1">
      <alignment wrapText="1"/>
    </xf>
    <xf numFmtId="0" fontId="12" fillId="2" borderId="46" xfId="0" applyFont="1" applyFill="1" applyBorder="1" applyAlignment="1">
      <alignment wrapText="1"/>
    </xf>
    <xf numFmtId="0" fontId="12" fillId="2" borderId="47" xfId="0" applyFont="1" applyFill="1" applyBorder="1" applyAlignment="1">
      <alignment wrapText="1"/>
    </xf>
    <xf numFmtId="1" fontId="12" fillId="0" borderId="12" xfId="0" applyNumberFormat="1" applyFont="1" applyBorder="1" applyAlignment="1">
      <alignment wrapText="1"/>
    </xf>
    <xf numFmtId="0" fontId="1" fillId="2" borderId="0" xfId="0" applyFont="1" applyFill="1" applyAlignment="1"/>
    <xf numFmtId="0" fontId="8" fillId="2" borderId="0" xfId="0" applyFont="1" applyFill="1" applyBorder="1" applyAlignment="1">
      <alignment horizontal="center" wrapText="1"/>
    </xf>
    <xf numFmtId="0" fontId="8" fillId="2" borderId="0" xfId="0" applyFont="1" applyFill="1" applyBorder="1" applyAlignment="1">
      <alignment wrapText="1"/>
    </xf>
    <xf numFmtId="0" fontId="0" fillId="2" borderId="1" xfId="0" applyFont="1" applyFill="1" applyBorder="1" applyAlignment="1"/>
    <xf numFmtId="0" fontId="30" fillId="2" borderId="0" xfId="0" applyFont="1" applyFill="1" applyBorder="1"/>
    <xf numFmtId="0" fontId="12" fillId="2" borderId="39" xfId="0" applyFont="1" applyFill="1" applyBorder="1" applyAlignment="1"/>
    <xf numFmtId="0" fontId="12" fillId="2" borderId="0" xfId="0" applyFont="1" applyFill="1" applyBorder="1" applyAlignment="1"/>
    <xf numFmtId="1" fontId="12" fillId="2" borderId="37" xfId="0" applyNumberFormat="1" applyFont="1" applyFill="1" applyBorder="1" applyAlignment="1">
      <alignment horizontal="right" wrapText="1"/>
    </xf>
    <xf numFmtId="0" fontId="0" fillId="2" borderId="30" xfId="0" applyFont="1" applyFill="1" applyBorder="1" applyAlignment="1"/>
    <xf numFmtId="0" fontId="1" fillId="2" borderId="0" xfId="0" applyFont="1" applyFill="1" applyBorder="1" applyAlignment="1"/>
    <xf numFmtId="2" fontId="12" fillId="2" borderId="0" xfId="0" applyNumberFormat="1" applyFont="1" applyFill="1" applyBorder="1" applyAlignment="1">
      <alignment horizontal="right"/>
    </xf>
    <xf numFmtId="165" fontId="12" fillId="2" borderId="0" xfId="0" applyNumberFormat="1" applyFont="1" applyFill="1" applyBorder="1" applyAlignment="1">
      <alignment horizontal="right"/>
    </xf>
    <xf numFmtId="165" fontId="12" fillId="3" borderId="12" xfId="0" applyNumberFormat="1" applyFont="1" applyFill="1" applyBorder="1" applyAlignment="1">
      <alignment horizontal="right"/>
    </xf>
    <xf numFmtId="0" fontId="12" fillId="2" borderId="21" xfId="0" applyFont="1" applyFill="1" applyBorder="1" applyAlignment="1"/>
    <xf numFmtId="0" fontId="12" fillId="2" borderId="30" xfId="0" applyFont="1" applyFill="1" applyBorder="1" applyAlignment="1"/>
    <xf numFmtId="1" fontId="0" fillId="2" borderId="0" xfId="0" applyNumberFormat="1" applyFont="1" applyFill="1" applyBorder="1" applyAlignment="1"/>
    <xf numFmtId="0" fontId="10" fillId="2" borderId="0" xfId="0" applyFont="1" applyFill="1"/>
    <xf numFmtId="0" fontId="10" fillId="0" borderId="0" xfId="0" applyFont="1"/>
    <xf numFmtId="0" fontId="30" fillId="2" borderId="0" xfId="0" applyFont="1" applyFill="1" applyBorder="1" applyAlignment="1"/>
    <xf numFmtId="0" fontId="30" fillId="2" borderId="3" xfId="0" applyFont="1" applyFill="1" applyBorder="1" applyAlignment="1"/>
    <xf numFmtId="0" fontId="31" fillId="2" borderId="4" xfId="0" applyFont="1" applyFill="1" applyBorder="1"/>
    <xf numFmtId="0" fontId="0" fillId="3" borderId="30" xfId="0" applyFont="1" applyFill="1" applyBorder="1" applyAlignment="1">
      <alignment horizontal="left"/>
    </xf>
    <xf numFmtId="0" fontId="12" fillId="0" borderId="48" xfId="0" applyFont="1" applyBorder="1" applyAlignment="1">
      <alignment wrapText="1"/>
    </xf>
    <xf numFmtId="3" fontId="12" fillId="2" borderId="0" xfId="0" applyNumberFormat="1" applyFont="1" applyFill="1" applyBorder="1" applyAlignment="1">
      <alignment horizontal="right" wrapText="1"/>
    </xf>
    <xf numFmtId="0" fontId="0" fillId="0" borderId="0" xfId="0" applyFont="1" applyBorder="1" applyAlignment="1">
      <alignment vertical="center"/>
    </xf>
    <xf numFmtId="0" fontId="9" fillId="2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2" fontId="12" fillId="3" borderId="9" xfId="0" applyNumberFormat="1" applyFont="1" applyFill="1" applyBorder="1" applyAlignment="1">
      <alignment horizontal="right" wrapText="1"/>
    </xf>
    <xf numFmtId="0" fontId="0" fillId="0" borderId="0" xfId="0" applyBorder="1" applyAlignment="1"/>
    <xf numFmtId="3" fontId="0" fillId="4" borderId="42" xfId="0" applyNumberFormat="1" applyFill="1" applyBorder="1" applyAlignment="1">
      <alignment horizontal="center" vertical="center"/>
    </xf>
    <xf numFmtId="0" fontId="32" fillId="2" borderId="0" xfId="0" applyFont="1" applyFill="1"/>
    <xf numFmtId="3" fontId="32" fillId="4" borderId="42" xfId="0" applyNumberFormat="1" applyFont="1" applyFill="1" applyBorder="1" applyAlignment="1">
      <alignment horizontal="center" vertical="center"/>
    </xf>
    <xf numFmtId="0" fontId="32" fillId="0" borderId="0" xfId="0" applyFont="1"/>
    <xf numFmtId="165" fontId="0" fillId="3" borderId="42" xfId="0" applyNumberFormat="1" applyFill="1" applyBorder="1" applyAlignment="1">
      <alignment horizontal="center"/>
    </xf>
    <xf numFmtId="165" fontId="32" fillId="3" borderId="42" xfId="0" applyNumberFormat="1" applyFont="1" applyFill="1" applyBorder="1" applyAlignment="1">
      <alignment horizontal="center"/>
    </xf>
    <xf numFmtId="3" fontId="44" fillId="7" borderId="14" xfId="0" applyNumberFormat="1" applyFont="1" applyFill="1" applyBorder="1" applyAlignment="1">
      <alignment horizontal="center" vertical="center" wrapText="1"/>
    </xf>
    <xf numFmtId="0" fontId="44" fillId="7" borderId="21" xfId="0" applyFont="1" applyFill="1" applyBorder="1" applyAlignment="1">
      <alignment wrapText="1"/>
    </xf>
    <xf numFmtId="3" fontId="44" fillId="7" borderId="14" xfId="0" applyNumberFormat="1" applyFont="1" applyFill="1" applyBorder="1" applyAlignment="1">
      <alignment horizontal="center" wrapText="1"/>
    </xf>
    <xf numFmtId="0" fontId="44" fillId="7" borderId="1" xfId="0" applyFont="1" applyFill="1" applyBorder="1" applyAlignment="1"/>
    <xf numFmtId="3" fontId="32" fillId="4" borderId="49" xfId="0" applyNumberFormat="1" applyFon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10" fillId="2" borderId="0" xfId="0" applyFont="1" applyFill="1" applyBorder="1"/>
    <xf numFmtId="165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0" fillId="8" borderId="51" xfId="0" applyNumberFormat="1" applyFont="1" applyFill="1" applyBorder="1" applyAlignment="1">
      <alignment horizontal="center"/>
    </xf>
    <xf numFmtId="165" fontId="0" fillId="8" borderId="52" xfId="0" applyNumberFormat="1" applyFont="1" applyFill="1" applyBorder="1" applyAlignment="1">
      <alignment horizontal="center"/>
    </xf>
    <xf numFmtId="1" fontId="12" fillId="3" borderId="7" xfId="0" applyNumberFormat="1" applyFont="1" applyFill="1" applyBorder="1" applyAlignment="1">
      <alignment horizontal="right" wrapText="1"/>
    </xf>
    <xf numFmtId="1" fontId="12" fillId="0" borderId="0" xfId="0" applyNumberFormat="1" applyFont="1" applyBorder="1" applyAlignment="1">
      <alignment wrapText="1"/>
    </xf>
    <xf numFmtId="0" fontId="12" fillId="3" borderId="1" xfId="0" applyFont="1" applyFill="1" applyBorder="1" applyAlignment="1">
      <alignment wrapText="1"/>
    </xf>
    <xf numFmtId="0" fontId="0" fillId="9" borderId="9" xfId="0" applyFont="1" applyFill="1" applyBorder="1"/>
    <xf numFmtId="165" fontId="0" fillId="8" borderId="12" xfId="0" applyNumberFormat="1" applyFont="1" applyFill="1" applyBorder="1" applyAlignment="1">
      <alignment horizontal="center"/>
    </xf>
    <xf numFmtId="0" fontId="12" fillId="4" borderId="53" xfId="0" applyFont="1" applyFill="1" applyBorder="1" applyAlignment="1">
      <alignment vertical="center" wrapText="1"/>
    </xf>
    <xf numFmtId="0" fontId="12" fillId="4" borderId="17" xfId="0" applyFont="1" applyFill="1" applyBorder="1" applyAlignment="1">
      <alignment vertical="center" wrapText="1"/>
    </xf>
    <xf numFmtId="0" fontId="30" fillId="2" borderId="54" xfId="0" applyFont="1" applyFill="1" applyBorder="1"/>
    <xf numFmtId="0" fontId="30" fillId="2" borderId="55" xfId="0" applyFont="1" applyFill="1" applyBorder="1"/>
    <xf numFmtId="0" fontId="30" fillId="2" borderId="56" xfId="0" applyFont="1" applyFill="1" applyBorder="1"/>
    <xf numFmtId="0" fontId="17" fillId="4" borderId="57" xfId="0" applyFont="1" applyFill="1" applyBorder="1" applyAlignment="1">
      <alignment wrapText="1"/>
    </xf>
    <xf numFmtId="0" fontId="12" fillId="4" borderId="57" xfId="0" applyFont="1" applyFill="1" applyBorder="1" applyAlignment="1">
      <alignment horizontal="center" wrapText="1"/>
    </xf>
    <xf numFmtId="0" fontId="17" fillId="4" borderId="58" xfId="0" applyFont="1" applyFill="1" applyBorder="1" applyAlignment="1">
      <alignment wrapText="1"/>
    </xf>
    <xf numFmtId="0" fontId="12" fillId="4" borderId="59" xfId="0" applyFont="1" applyFill="1" applyBorder="1" applyAlignment="1">
      <alignment horizontal="center" wrapText="1"/>
    </xf>
    <xf numFmtId="0" fontId="23" fillId="9" borderId="60" xfId="0" applyFont="1" applyFill="1" applyBorder="1" applyAlignment="1">
      <alignment horizontal="center" wrapText="1"/>
    </xf>
    <xf numFmtId="0" fontId="12" fillId="2" borderId="61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1" fontId="12" fillId="3" borderId="10" xfId="0" applyNumberFormat="1" applyFont="1" applyFill="1" applyBorder="1" applyAlignment="1">
      <alignment horizontal="center"/>
    </xf>
    <xf numFmtId="165" fontId="12" fillId="8" borderId="43" xfId="0" applyNumberFormat="1" applyFont="1" applyFill="1" applyBorder="1" applyAlignment="1">
      <alignment horizontal="center"/>
    </xf>
    <xf numFmtId="165" fontId="12" fillId="3" borderId="36" xfId="0" applyNumberFormat="1" applyFont="1" applyFill="1" applyBorder="1" applyAlignment="1">
      <alignment horizontal="center"/>
    </xf>
    <xf numFmtId="165" fontId="12" fillId="3" borderId="32" xfId="0" applyNumberFormat="1" applyFont="1" applyFill="1" applyBorder="1" applyAlignment="1">
      <alignment horizontal="center"/>
    </xf>
    <xf numFmtId="0" fontId="12" fillId="2" borderId="62" xfId="0" applyFont="1" applyFill="1" applyBorder="1" applyAlignment="1">
      <alignment horizontal="center"/>
    </xf>
    <xf numFmtId="0" fontId="12" fillId="2" borderId="62" xfId="0" applyFont="1" applyFill="1" applyBorder="1" applyAlignment="1">
      <alignment horizontal="center" wrapText="1"/>
    </xf>
    <xf numFmtId="0" fontId="12" fillId="2" borderId="63" xfId="0" applyFont="1" applyFill="1" applyBorder="1" applyAlignment="1">
      <alignment horizontal="center" wrapText="1"/>
    </xf>
    <xf numFmtId="0" fontId="12" fillId="2" borderId="64" xfId="0" applyNumberFormat="1" applyFont="1" applyFill="1" applyBorder="1" applyAlignment="1">
      <alignment horizontal="center" wrapText="1"/>
    </xf>
    <xf numFmtId="0" fontId="0" fillId="2" borderId="65" xfId="0" applyFont="1" applyFill="1" applyBorder="1" applyAlignment="1">
      <alignment horizontal="center"/>
    </xf>
    <xf numFmtId="165" fontId="12" fillId="3" borderId="66" xfId="0" applyNumberFormat="1" applyFont="1" applyFill="1" applyBorder="1" applyAlignment="1">
      <alignment horizontal="center"/>
    </xf>
    <xf numFmtId="0" fontId="0" fillId="0" borderId="9" xfId="0" applyBorder="1"/>
    <xf numFmtId="0" fontId="0" fillId="0" borderId="65" xfId="0" applyBorder="1"/>
    <xf numFmtId="165" fontId="0" fillId="2" borderId="14" xfId="0" applyNumberFormat="1" applyFont="1" applyFill="1" applyBorder="1" applyAlignment="1">
      <alignment horizontal="center"/>
    </xf>
    <xf numFmtId="0" fontId="23" fillId="9" borderId="67" xfId="0" applyFont="1" applyFill="1" applyBorder="1" applyAlignment="1">
      <alignment horizontal="center" wrapText="1"/>
    </xf>
    <xf numFmtId="0" fontId="12" fillId="3" borderId="64" xfId="0" applyFont="1" applyFill="1" applyBorder="1" applyAlignment="1">
      <alignment horizontal="center"/>
    </xf>
    <xf numFmtId="0" fontId="12" fillId="2" borderId="64" xfId="0" applyFont="1" applyFill="1" applyBorder="1" applyAlignment="1">
      <alignment horizontal="center"/>
    </xf>
    <xf numFmtId="165" fontId="12" fillId="3" borderId="68" xfId="0" applyNumberFormat="1" applyFont="1" applyFill="1" applyBorder="1" applyAlignment="1">
      <alignment horizontal="center"/>
    </xf>
    <xf numFmtId="164" fontId="12" fillId="3" borderId="61" xfId="0" applyNumberFormat="1" applyFont="1" applyFill="1" applyBorder="1" applyAlignment="1">
      <alignment horizontal="center"/>
    </xf>
    <xf numFmtId="164" fontId="12" fillId="8" borderId="69" xfId="0" applyNumberFormat="1" applyFont="1" applyFill="1" applyBorder="1" applyAlignment="1">
      <alignment horizontal="center"/>
    </xf>
    <xf numFmtId="0" fontId="23" fillId="9" borderId="67" xfId="0" applyFont="1" applyFill="1" applyBorder="1" applyAlignment="1">
      <alignment horizontal="center" vertical="center" wrapText="1"/>
    </xf>
    <xf numFmtId="165" fontId="12" fillId="8" borderId="70" xfId="0" applyNumberFormat="1" applyFont="1" applyFill="1" applyBorder="1" applyAlignment="1">
      <alignment horizontal="center"/>
    </xf>
    <xf numFmtId="165" fontId="12" fillId="8" borderId="71" xfId="0" applyNumberFormat="1" applyFont="1" applyFill="1" applyBorder="1" applyAlignment="1">
      <alignment horizontal="center"/>
    </xf>
    <xf numFmtId="0" fontId="12" fillId="3" borderId="68" xfId="0" applyNumberFormat="1" applyFont="1" applyFill="1" applyBorder="1" applyAlignment="1">
      <alignment horizontal="center"/>
    </xf>
    <xf numFmtId="0" fontId="0" fillId="4" borderId="25" xfId="0" applyFont="1" applyFill="1" applyBorder="1" applyAlignment="1"/>
    <xf numFmtId="0" fontId="0" fillId="4" borderId="17" xfId="0" applyFont="1" applyFill="1" applyBorder="1" applyAlignment="1">
      <alignment horizontal="center"/>
    </xf>
    <xf numFmtId="0" fontId="12" fillId="4" borderId="0" xfId="0" applyFont="1" applyFill="1" applyBorder="1" applyAlignment="1">
      <alignment horizontal="center" wrapText="1"/>
    </xf>
    <xf numFmtId="0" fontId="12" fillId="4" borderId="30" xfId="0" applyFont="1" applyFill="1" applyBorder="1" applyAlignment="1">
      <alignment horizontal="center" wrapText="1"/>
    </xf>
    <xf numFmtId="0" fontId="12" fillId="4" borderId="17" xfId="0" applyFont="1" applyFill="1" applyBorder="1" applyAlignment="1">
      <alignment vertical="center" wrapText="1"/>
    </xf>
    <xf numFmtId="0" fontId="12" fillId="4" borderId="53" xfId="0" applyFont="1" applyFill="1" applyBorder="1" applyAlignment="1">
      <alignment wrapText="1"/>
    </xf>
    <xf numFmtId="0" fontId="1" fillId="0" borderId="0" xfId="0" applyFont="1" applyAlignment="1">
      <alignment vertical="center"/>
    </xf>
    <xf numFmtId="0" fontId="0" fillId="3" borderId="1" xfId="0" applyFont="1" applyFill="1" applyBorder="1" applyAlignment="1">
      <alignment vertical="center"/>
    </xf>
    <xf numFmtId="0" fontId="12" fillId="2" borderId="10" xfId="0" applyFont="1" applyFill="1" applyBorder="1" applyAlignment="1">
      <alignment horizontal="center"/>
    </xf>
    <xf numFmtId="0" fontId="32" fillId="4" borderId="42" xfId="0" applyNumberFormat="1" applyFont="1" applyFill="1" applyBorder="1" applyAlignment="1">
      <alignment horizontal="center" vertical="center"/>
    </xf>
    <xf numFmtId="0" fontId="0" fillId="3" borderId="9" xfId="0" applyNumberFormat="1" applyFont="1" applyFill="1" applyBorder="1" applyAlignment="1">
      <alignment vertical="center"/>
    </xf>
    <xf numFmtId="0" fontId="0" fillId="3" borderId="72" xfId="0" applyFont="1" applyFill="1" applyBorder="1" applyAlignment="1">
      <alignment vertical="center"/>
    </xf>
    <xf numFmtId="167" fontId="44" fillId="7" borderId="14" xfId="0" applyNumberFormat="1" applyFont="1" applyFill="1" applyBorder="1" applyAlignment="1">
      <alignment horizontal="center" wrapText="1"/>
    </xf>
    <xf numFmtId="0" fontId="12" fillId="2" borderId="18" xfId="0" applyFont="1" applyFill="1" applyBorder="1" applyAlignment="1">
      <alignment wrapText="1"/>
    </xf>
    <xf numFmtId="0" fontId="12" fillId="2" borderId="6" xfId="0" applyFont="1" applyFill="1" applyBorder="1" applyAlignment="1">
      <alignment wrapText="1"/>
    </xf>
    <xf numFmtId="0" fontId="12" fillId="2" borderId="8" xfId="0" applyFont="1" applyFill="1" applyBorder="1" applyAlignment="1">
      <alignment wrapText="1"/>
    </xf>
    <xf numFmtId="0" fontId="12" fillId="4" borderId="53" xfId="0" applyFont="1" applyFill="1" applyBorder="1" applyAlignment="1">
      <alignment wrapText="1"/>
    </xf>
    <xf numFmtId="0" fontId="12" fillId="4" borderId="7" xfId="0" applyFont="1" applyFill="1" applyBorder="1" applyAlignment="1">
      <alignment wrapText="1"/>
    </xf>
    <xf numFmtId="0" fontId="12" fillId="3" borderId="7" xfId="0" applyFont="1" applyFill="1" applyBorder="1" applyAlignment="1">
      <alignment vertical="center" wrapText="1"/>
    </xf>
    <xf numFmtId="0" fontId="12" fillId="3" borderId="40" xfId="0" applyFont="1" applyFill="1" applyBorder="1" applyAlignment="1">
      <alignment vertical="center" wrapText="1"/>
    </xf>
    <xf numFmtId="0" fontId="0" fillId="2" borderId="8" xfId="0" applyFill="1" applyBorder="1" applyAlignment="1"/>
    <xf numFmtId="0" fontId="0" fillId="2" borderId="6" xfId="0" applyFill="1" applyBorder="1" applyAlignment="1"/>
    <xf numFmtId="0" fontId="0" fillId="2" borderId="29" xfId="0" applyFill="1" applyBorder="1" applyAlignment="1"/>
    <xf numFmtId="0" fontId="0" fillId="2" borderId="10" xfId="0" applyFill="1" applyBorder="1" applyAlignment="1"/>
    <xf numFmtId="0" fontId="0" fillId="2" borderId="37" xfId="0" applyFill="1" applyBorder="1" applyAlignment="1"/>
    <xf numFmtId="0" fontId="0" fillId="2" borderId="39" xfId="0" applyFill="1" applyBorder="1" applyAlignment="1"/>
    <xf numFmtId="0" fontId="23" fillId="9" borderId="53" xfId="0" applyFont="1" applyFill="1" applyBorder="1" applyAlignment="1">
      <alignment horizontal="center" vertical="center" wrapText="1"/>
    </xf>
    <xf numFmtId="0" fontId="23" fillId="9" borderId="17" xfId="0" applyFont="1" applyFill="1" applyBorder="1" applyAlignment="1">
      <alignment horizontal="center" vertical="center" wrapText="1"/>
    </xf>
    <xf numFmtId="0" fontId="23" fillId="9" borderId="67" xfId="0" applyFont="1" applyFill="1" applyBorder="1" applyAlignment="1">
      <alignment horizontal="center" vertical="center" wrapText="1"/>
    </xf>
    <xf numFmtId="0" fontId="23" fillId="9" borderId="38" xfId="0" applyFont="1" applyFill="1" applyBorder="1" applyAlignment="1">
      <alignment horizontal="center" vertical="center" wrapText="1"/>
    </xf>
    <xf numFmtId="0" fontId="0" fillId="2" borderId="10" xfId="0" applyFill="1" applyBorder="1"/>
    <xf numFmtId="0" fontId="0" fillId="2" borderId="37" xfId="0" applyFill="1" applyBorder="1"/>
    <xf numFmtId="0" fontId="0" fillId="2" borderId="39" xfId="0" applyFill="1" applyBorder="1"/>
    <xf numFmtId="0" fontId="24" fillId="7" borderId="67" xfId="0" applyFont="1" applyFill="1" applyBorder="1" applyAlignment="1">
      <alignment vertical="center"/>
    </xf>
    <xf numFmtId="0" fontId="24" fillId="7" borderId="73" xfId="0" applyFont="1" applyFill="1" applyBorder="1" applyAlignment="1">
      <alignment vertical="center"/>
    </xf>
    <xf numFmtId="0" fontId="24" fillId="7" borderId="74" xfId="0" applyFont="1" applyFill="1" applyBorder="1" applyAlignment="1">
      <alignment vertical="center"/>
    </xf>
    <xf numFmtId="0" fontId="12" fillId="2" borderId="38" xfId="0" applyFont="1" applyFill="1" applyBorder="1" applyAlignment="1">
      <alignment wrapText="1"/>
    </xf>
    <xf numFmtId="0" fontId="12" fillId="2" borderId="9" xfId="0" applyFont="1" applyFill="1" applyBorder="1" applyAlignment="1">
      <alignment wrapText="1"/>
    </xf>
    <xf numFmtId="0" fontId="12" fillId="3" borderId="38" xfId="0" applyFont="1" applyFill="1" applyBorder="1" applyAlignment="1">
      <alignment vertical="top" wrapText="1"/>
    </xf>
    <xf numFmtId="0" fontId="12" fillId="3" borderId="9" xfId="0" applyFont="1" applyFill="1" applyBorder="1" applyAlignment="1">
      <alignment vertical="top" wrapText="1"/>
    </xf>
    <xf numFmtId="0" fontId="12" fillId="3" borderId="1" xfId="0" applyFont="1" applyFill="1" applyBorder="1" applyAlignment="1">
      <alignment vertical="top" wrapText="1"/>
    </xf>
    <xf numFmtId="0" fontId="32" fillId="9" borderId="53" xfId="0" applyFont="1" applyFill="1" applyBorder="1"/>
    <xf numFmtId="0" fontId="32" fillId="9" borderId="7" xfId="0" applyFont="1" applyFill="1" applyBorder="1"/>
    <xf numFmtId="0" fontId="32" fillId="9" borderId="40" xfId="0" applyFont="1" applyFill="1" applyBorder="1"/>
    <xf numFmtId="0" fontId="0" fillId="9" borderId="81" xfId="0" applyFill="1" applyBorder="1"/>
    <xf numFmtId="0" fontId="0" fillId="9" borderId="37" xfId="0" applyFill="1" applyBorder="1"/>
    <xf numFmtId="0" fontId="0" fillId="9" borderId="39" xfId="0" applyFill="1" applyBorder="1"/>
    <xf numFmtId="0" fontId="32" fillId="9" borderId="81" xfId="0" applyFont="1" applyFill="1" applyBorder="1"/>
    <xf numFmtId="0" fontId="32" fillId="9" borderId="37" xfId="0" applyFont="1" applyFill="1" applyBorder="1"/>
    <xf numFmtId="0" fontId="32" fillId="9" borderId="39" xfId="0" applyFont="1" applyFill="1" applyBorder="1"/>
    <xf numFmtId="0" fontId="0" fillId="9" borderId="87" xfId="0" applyFill="1" applyBorder="1"/>
    <xf numFmtId="0" fontId="0" fillId="9" borderId="88" xfId="0" applyFill="1" applyBorder="1"/>
    <xf numFmtId="0" fontId="0" fillId="9" borderId="89" xfId="0" applyFill="1" applyBorder="1"/>
    <xf numFmtId="3" fontId="0" fillId="9" borderId="12" xfId="0" applyNumberFormat="1" applyFont="1" applyFill="1" applyBorder="1" applyAlignment="1">
      <alignment horizontal="center"/>
    </xf>
    <xf numFmtId="3" fontId="0" fillId="9" borderId="21" xfId="0" applyNumberFormat="1" applyFont="1" applyFill="1" applyBorder="1" applyAlignment="1">
      <alignment horizontal="center"/>
    </xf>
    <xf numFmtId="0" fontId="0" fillId="9" borderId="38" xfId="0" applyFont="1" applyFill="1" applyBorder="1"/>
    <xf numFmtId="0" fontId="0" fillId="9" borderId="9" xfId="0" applyFont="1" applyFill="1" applyBorder="1"/>
    <xf numFmtId="0" fontId="0" fillId="9" borderId="90" xfId="0" applyFont="1" applyFill="1" applyBorder="1"/>
    <xf numFmtId="0" fontId="0" fillId="9" borderId="91" xfId="0" applyFont="1" applyFill="1" applyBorder="1"/>
    <xf numFmtId="0" fontId="0" fillId="9" borderId="92" xfId="0" applyFont="1" applyFill="1" applyBorder="1"/>
    <xf numFmtId="0" fontId="39" fillId="7" borderId="27" xfId="0" applyFont="1" applyFill="1" applyBorder="1" applyAlignment="1">
      <alignment horizontal="center" vertical="center"/>
    </xf>
    <xf numFmtId="0" fontId="39" fillId="7" borderId="28" xfId="0" applyFont="1" applyFill="1" applyBorder="1" applyAlignment="1">
      <alignment horizontal="center" vertical="center"/>
    </xf>
    <xf numFmtId="0" fontId="12" fillId="4" borderId="81" xfId="0" applyFont="1" applyFill="1" applyBorder="1" applyAlignment="1">
      <alignment wrapText="1"/>
    </xf>
    <xf numFmtId="0" fontId="12" fillId="4" borderId="37" xfId="0" applyFont="1" applyFill="1" applyBorder="1" applyAlignment="1">
      <alignment wrapText="1"/>
    </xf>
    <xf numFmtId="0" fontId="39" fillId="7" borderId="38" xfId="0" applyFont="1" applyFill="1" applyBorder="1" applyAlignment="1"/>
    <xf numFmtId="0" fontId="39" fillId="7" borderId="9" xfId="0" applyFont="1" applyFill="1" applyBorder="1" applyAlignment="1"/>
    <xf numFmtId="0" fontId="17" fillId="4" borderId="0" xfId="0" applyFont="1" applyFill="1" applyBorder="1" applyAlignment="1">
      <alignment horizontal="center" wrapText="1"/>
    </xf>
    <xf numFmtId="0" fontId="17" fillId="4" borderId="30" xfId="0" applyFont="1" applyFill="1" applyBorder="1" applyAlignment="1">
      <alignment horizontal="center" wrapText="1"/>
    </xf>
    <xf numFmtId="0" fontId="0" fillId="3" borderId="17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3" borderId="30" xfId="0" applyFont="1" applyFill="1" applyBorder="1" applyAlignment="1">
      <alignment vertical="center"/>
    </xf>
    <xf numFmtId="0" fontId="42" fillId="7" borderId="67" xfId="0" applyFont="1" applyFill="1" applyBorder="1" applyAlignment="1">
      <alignment vertical="center"/>
    </xf>
    <xf numFmtId="0" fontId="42" fillId="7" borderId="73" xfId="0" applyFont="1" applyFill="1" applyBorder="1" applyAlignment="1">
      <alignment vertical="center"/>
    </xf>
    <xf numFmtId="0" fontId="42" fillId="7" borderId="74" xfId="0" applyFont="1" applyFill="1" applyBorder="1" applyAlignment="1">
      <alignment vertical="center"/>
    </xf>
    <xf numFmtId="0" fontId="17" fillId="4" borderId="25" xfId="0" applyFont="1" applyFill="1" applyBorder="1" applyAlignment="1">
      <alignment horizontal="center" vertical="center" wrapText="1"/>
    </xf>
    <xf numFmtId="0" fontId="17" fillId="4" borderId="30" xfId="0" applyFont="1" applyFill="1" applyBorder="1" applyAlignment="1">
      <alignment horizontal="center" vertical="center" wrapText="1"/>
    </xf>
    <xf numFmtId="0" fontId="17" fillId="4" borderId="0" xfId="0" applyFont="1" applyFill="1" applyBorder="1" applyAlignment="1">
      <alignment horizontal="center" vertical="center" wrapText="1"/>
    </xf>
    <xf numFmtId="1" fontId="17" fillId="4" borderId="17" xfId="0" applyNumberFormat="1" applyFont="1" applyFill="1" applyBorder="1" applyAlignment="1">
      <alignment horizontal="center" vertical="center" wrapText="1"/>
    </xf>
    <xf numFmtId="1" fontId="17" fillId="4" borderId="0" xfId="0" applyNumberFormat="1" applyFont="1" applyFill="1" applyBorder="1" applyAlignment="1">
      <alignment horizontal="center" vertical="center" wrapText="1"/>
    </xf>
    <xf numFmtId="1" fontId="17" fillId="4" borderId="30" xfId="0" applyNumberFormat="1" applyFont="1" applyFill="1" applyBorder="1" applyAlignment="1">
      <alignment horizontal="center" vertical="center" wrapText="1"/>
    </xf>
    <xf numFmtId="0" fontId="17" fillId="4" borderId="17" xfId="0" applyFont="1" applyFill="1" applyBorder="1" applyAlignment="1">
      <alignment horizontal="center" vertical="center" wrapText="1"/>
    </xf>
    <xf numFmtId="0" fontId="0" fillId="3" borderId="0" xfId="0" applyFont="1" applyFill="1" applyBorder="1" applyAlignment="1"/>
    <xf numFmtId="0" fontId="0" fillId="3" borderId="9" xfId="0" applyFont="1" applyFill="1" applyBorder="1" applyAlignment="1"/>
    <xf numFmtId="0" fontId="0" fillId="2" borderId="17" xfId="0" applyFont="1" applyFill="1" applyBorder="1" applyAlignment="1"/>
    <xf numFmtId="0" fontId="0" fillId="2" borderId="0" xfId="0" applyFont="1" applyFill="1" applyBorder="1" applyAlignment="1"/>
    <xf numFmtId="0" fontId="0" fillId="2" borderId="38" xfId="0" applyFont="1" applyFill="1" applyBorder="1" applyAlignment="1"/>
    <xf numFmtId="0" fontId="0" fillId="2" borderId="9" xfId="0" applyFont="1" applyFill="1" applyBorder="1" applyAlignment="1"/>
    <xf numFmtId="0" fontId="12" fillId="4" borderId="10" xfId="0" applyFont="1" applyFill="1" applyBorder="1" applyAlignment="1">
      <alignment wrapText="1"/>
    </xf>
    <xf numFmtId="0" fontId="12" fillId="4" borderId="39" xfId="0" applyFont="1" applyFill="1" applyBorder="1" applyAlignment="1">
      <alignment wrapText="1"/>
    </xf>
    <xf numFmtId="0" fontId="12" fillId="4" borderId="18" xfId="0" applyFont="1" applyFill="1" applyBorder="1" applyAlignment="1">
      <alignment vertical="center" wrapText="1"/>
    </xf>
    <xf numFmtId="0" fontId="12" fillId="4" borderId="6" xfId="0" applyFont="1" applyFill="1" applyBorder="1" applyAlignment="1">
      <alignment vertical="center" wrapText="1"/>
    </xf>
    <xf numFmtId="0" fontId="12" fillId="2" borderId="10" xfId="0" applyFont="1" applyFill="1" applyBorder="1" applyAlignment="1">
      <alignment wrapText="1"/>
    </xf>
    <xf numFmtId="0" fontId="12" fillId="2" borderId="37" xfId="0" applyFont="1" applyFill="1" applyBorder="1" applyAlignment="1">
      <alignment wrapText="1"/>
    </xf>
    <xf numFmtId="0" fontId="12" fillId="2" borderId="39" xfId="0" applyFont="1" applyFill="1" applyBorder="1" applyAlignment="1">
      <alignment wrapText="1"/>
    </xf>
    <xf numFmtId="0" fontId="12" fillId="0" borderId="73" xfId="0" applyFont="1" applyBorder="1" applyAlignment="1"/>
    <xf numFmtId="0" fontId="12" fillId="4" borderId="81" xfId="0" applyFont="1" applyFill="1" applyBorder="1" applyAlignment="1"/>
    <xf numFmtId="0" fontId="12" fillId="4" borderId="37" xfId="0" applyFont="1" applyFill="1" applyBorder="1" applyAlignment="1"/>
    <xf numFmtId="0" fontId="12" fillId="4" borderId="38" xfId="0" applyFont="1" applyFill="1" applyBorder="1" applyAlignment="1"/>
    <xf numFmtId="0" fontId="12" fillId="4" borderId="9" xfId="0" applyFont="1" applyFill="1" applyBorder="1" applyAlignment="1"/>
    <xf numFmtId="0" fontId="12" fillId="2" borderId="37" xfId="0" applyFont="1" applyFill="1" applyBorder="1" applyAlignment="1"/>
    <xf numFmtId="0" fontId="12" fillId="4" borderId="81" xfId="0" applyFont="1" applyFill="1" applyBorder="1" applyAlignment="1">
      <alignment vertical="center" wrapText="1"/>
    </xf>
    <xf numFmtId="0" fontId="12" fillId="4" borderId="37" xfId="0" applyFont="1" applyFill="1" applyBorder="1" applyAlignment="1">
      <alignment vertical="center" wrapText="1"/>
    </xf>
    <xf numFmtId="0" fontId="12" fillId="4" borderId="39" xfId="0" applyFont="1" applyFill="1" applyBorder="1" applyAlignment="1">
      <alignment vertical="center" wrapText="1"/>
    </xf>
    <xf numFmtId="0" fontId="12" fillId="4" borderId="29" xfId="0" applyFont="1" applyFill="1" applyBorder="1" applyAlignment="1">
      <alignment vertical="center" wrapText="1"/>
    </xf>
    <xf numFmtId="0" fontId="12" fillId="4" borderId="18" xfId="0" applyFont="1" applyFill="1" applyBorder="1" applyAlignment="1">
      <alignment wrapText="1"/>
    </xf>
    <xf numFmtId="0" fontId="12" fillId="4" borderId="6" xfId="0" applyFont="1" applyFill="1" applyBorder="1" applyAlignment="1">
      <alignment wrapText="1"/>
    </xf>
    <xf numFmtId="0" fontId="39" fillId="7" borderId="38" xfId="0" applyFont="1" applyFill="1" applyBorder="1" applyAlignment="1">
      <alignment vertical="center"/>
    </xf>
    <xf numFmtId="0" fontId="39" fillId="7" borderId="9" xfId="0" applyFont="1" applyFill="1" applyBorder="1" applyAlignment="1">
      <alignment vertical="center"/>
    </xf>
    <xf numFmtId="0" fontId="39" fillId="7" borderId="72" xfId="0" applyFont="1" applyFill="1" applyBorder="1" applyAlignment="1">
      <alignment vertical="center"/>
    </xf>
    <xf numFmtId="0" fontId="17" fillId="4" borderId="17" xfId="0" applyFont="1" applyFill="1" applyBorder="1" applyAlignment="1">
      <alignment vertical="center" wrapText="1"/>
    </xf>
    <xf numFmtId="0" fontId="17" fillId="4" borderId="0" xfId="0" applyFont="1" applyFill="1" applyBorder="1" applyAlignment="1">
      <alignment vertical="center" wrapText="1"/>
    </xf>
    <xf numFmtId="0" fontId="0" fillId="4" borderId="58" xfId="0" applyFont="1" applyFill="1" applyBorder="1"/>
    <xf numFmtId="0" fontId="0" fillId="4" borderId="57" xfId="0" applyFont="1" applyFill="1" applyBorder="1"/>
    <xf numFmtId="0" fontId="12" fillId="2" borderId="0" xfId="0" applyFont="1" applyFill="1" applyBorder="1" applyAlignment="1">
      <alignment wrapText="1"/>
    </xf>
    <xf numFmtId="0" fontId="42" fillId="7" borderId="26" xfId="0" applyFont="1" applyFill="1" applyBorder="1" applyAlignment="1">
      <alignment vertical="center"/>
    </xf>
    <xf numFmtId="0" fontId="42" fillId="7" borderId="27" xfId="0" applyFont="1" applyFill="1" applyBorder="1" applyAlignment="1">
      <alignment vertical="center"/>
    </xf>
    <xf numFmtId="0" fontId="12" fillId="3" borderId="7" xfId="0" applyFont="1" applyFill="1" applyBorder="1" applyAlignment="1">
      <alignment wrapText="1"/>
    </xf>
    <xf numFmtId="0" fontId="12" fillId="3" borderId="40" xfId="0" applyFont="1" applyFill="1" applyBorder="1" applyAlignment="1">
      <alignment wrapText="1"/>
    </xf>
    <xf numFmtId="0" fontId="12" fillId="4" borderId="75" xfId="0" applyFont="1" applyFill="1" applyBorder="1" applyAlignment="1">
      <alignment wrapText="1"/>
    </xf>
    <xf numFmtId="0" fontId="12" fillId="4" borderId="42" xfId="0" applyFont="1" applyFill="1" applyBorder="1" applyAlignment="1">
      <alignment wrapText="1"/>
    </xf>
    <xf numFmtId="0" fontId="17" fillId="4" borderId="41" xfId="0" applyFont="1" applyFill="1" applyBorder="1" applyAlignment="1">
      <alignment horizontal="center" vertical="center" wrapText="1"/>
    </xf>
    <xf numFmtId="0" fontId="12" fillId="0" borderId="82" xfId="0" applyFont="1" applyBorder="1" applyAlignment="1"/>
    <xf numFmtId="0" fontId="12" fillId="0" borderId="37" xfId="0" applyFont="1" applyBorder="1" applyAlignment="1"/>
    <xf numFmtId="0" fontId="12" fillId="2" borderId="27" xfId="0" applyFont="1" applyFill="1" applyBorder="1" applyAlignment="1"/>
    <xf numFmtId="0" fontId="12" fillId="2" borderId="80" xfId="0" applyFont="1" applyFill="1" applyBorder="1" applyAlignment="1"/>
    <xf numFmtId="0" fontId="12" fillId="0" borderId="8" xfId="0" applyFont="1" applyBorder="1" applyAlignment="1">
      <alignment wrapText="1"/>
    </xf>
    <xf numFmtId="0" fontId="12" fillId="0" borderId="6" xfId="0" applyFont="1" applyBorder="1" applyAlignment="1">
      <alignment wrapText="1"/>
    </xf>
    <xf numFmtId="0" fontId="12" fillId="0" borderId="10" xfId="0" applyFont="1" applyBorder="1" applyAlignment="1">
      <alignment wrapText="1"/>
    </xf>
    <xf numFmtId="0" fontId="12" fillId="0" borderId="37" xfId="0" applyFont="1" applyBorder="1" applyAlignment="1">
      <alignment wrapText="1"/>
    </xf>
    <xf numFmtId="0" fontId="12" fillId="2" borderId="58" xfId="0" applyFont="1" applyFill="1" applyBorder="1" applyAlignment="1">
      <alignment wrapText="1"/>
    </xf>
    <xf numFmtId="0" fontId="12" fillId="2" borderId="57" xfId="0" applyFont="1" applyFill="1" applyBorder="1" applyAlignment="1">
      <alignment wrapText="1"/>
    </xf>
    <xf numFmtId="0" fontId="12" fillId="2" borderId="83" xfId="0" applyFont="1" applyFill="1" applyBorder="1" applyAlignment="1">
      <alignment wrapText="1"/>
    </xf>
    <xf numFmtId="0" fontId="12" fillId="2" borderId="84" xfId="0" applyFont="1" applyFill="1" applyBorder="1" applyAlignment="1">
      <alignment horizontal="left" wrapText="1"/>
    </xf>
    <xf numFmtId="0" fontId="12" fillId="2" borderId="85" xfId="0" applyFont="1" applyFill="1" applyBorder="1" applyAlignment="1">
      <alignment horizontal="left" wrapText="1"/>
    </xf>
    <xf numFmtId="0" fontId="12" fillId="2" borderId="86" xfId="0" applyFont="1" applyFill="1" applyBorder="1" applyAlignment="1">
      <alignment horizontal="left" wrapText="1"/>
    </xf>
    <xf numFmtId="0" fontId="12" fillId="2" borderId="17" xfId="0" applyFont="1" applyFill="1" applyBorder="1" applyAlignment="1">
      <alignment wrapText="1"/>
    </xf>
    <xf numFmtId="0" fontId="12" fillId="2" borderId="41" xfId="0" applyFont="1" applyFill="1" applyBorder="1" applyAlignment="1">
      <alignment wrapText="1"/>
    </xf>
    <xf numFmtId="0" fontId="12" fillId="0" borderId="58" xfId="0" applyFont="1" applyBorder="1" applyAlignment="1">
      <alignment horizontal="left" wrapText="1"/>
    </xf>
    <xf numFmtId="0" fontId="12" fillId="0" borderId="57" xfId="0" applyFont="1" applyBorder="1" applyAlignment="1">
      <alignment horizontal="left" wrapText="1"/>
    </xf>
    <xf numFmtId="0" fontId="12" fillId="0" borderId="83" xfId="0" applyFont="1" applyBorder="1" applyAlignment="1">
      <alignment horizontal="left" wrapText="1"/>
    </xf>
    <xf numFmtId="0" fontId="0" fillId="2" borderId="38" xfId="0" applyFont="1" applyFill="1" applyBorder="1" applyAlignment="1">
      <alignment vertical="center"/>
    </xf>
    <xf numFmtId="0" fontId="0" fillId="2" borderId="9" xfId="0" applyFont="1" applyFill="1" applyBorder="1" applyAlignment="1">
      <alignment vertical="center"/>
    </xf>
    <xf numFmtId="0" fontId="12" fillId="2" borderId="10" xfId="0" applyFont="1" applyFill="1" applyBorder="1" applyAlignment="1"/>
    <xf numFmtId="0" fontId="12" fillId="2" borderId="81" xfId="0" applyFont="1" applyFill="1" applyBorder="1" applyAlignment="1"/>
    <xf numFmtId="0" fontId="0" fillId="2" borderId="81" xfId="0" applyFont="1" applyFill="1" applyBorder="1" applyAlignment="1">
      <alignment vertical="center"/>
    </xf>
    <xf numFmtId="0" fontId="0" fillId="2" borderId="37" xfId="0" applyFont="1" applyFill="1" applyBorder="1" applyAlignment="1">
      <alignment vertical="center"/>
    </xf>
    <xf numFmtId="1" fontId="0" fillId="3" borderId="37" xfId="0" applyNumberFormat="1" applyFont="1" applyFill="1" applyBorder="1" applyAlignment="1">
      <alignment horizontal="center" vertical="center"/>
    </xf>
    <xf numFmtId="1" fontId="0" fillId="3" borderId="39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0" fontId="12" fillId="4" borderId="75" xfId="0" applyFont="1" applyFill="1" applyBorder="1" applyAlignment="1">
      <alignment vertical="center" wrapText="1"/>
    </xf>
    <xf numFmtId="0" fontId="12" fillId="4" borderId="42" xfId="0" applyFont="1" applyFill="1" applyBorder="1" applyAlignment="1">
      <alignment vertical="center" wrapText="1"/>
    </xf>
    <xf numFmtId="0" fontId="12" fillId="4" borderId="18" xfId="0" applyFont="1" applyFill="1" applyBorder="1" applyAlignment="1"/>
    <xf numFmtId="0" fontId="12" fillId="4" borderId="6" xfId="0" applyFont="1" applyFill="1" applyBorder="1" applyAlignment="1"/>
    <xf numFmtId="0" fontId="17" fillId="4" borderId="11" xfId="0" applyFont="1" applyFill="1" applyBorder="1" applyAlignment="1">
      <alignment vertical="center"/>
    </xf>
    <xf numFmtId="0" fontId="17" fillId="4" borderId="7" xfId="0" applyFont="1" applyFill="1" applyBorder="1" applyAlignment="1">
      <alignment vertical="center"/>
    </xf>
    <xf numFmtId="0" fontId="17" fillId="4" borderId="40" xfId="0" applyFont="1" applyFill="1" applyBorder="1" applyAlignment="1">
      <alignment vertical="center"/>
    </xf>
    <xf numFmtId="49" fontId="0" fillId="3" borderId="6" xfId="0" applyNumberFormat="1" applyFont="1" applyFill="1" applyBorder="1" applyAlignment="1">
      <alignment vertical="center"/>
    </xf>
    <xf numFmtId="49" fontId="0" fillId="3" borderId="29" xfId="0" applyNumberFormat="1" applyFont="1" applyFill="1" applyBorder="1" applyAlignment="1">
      <alignment vertical="center"/>
    </xf>
    <xf numFmtId="0" fontId="0" fillId="3" borderId="8" xfId="0" applyFont="1" applyFill="1" applyBorder="1" applyAlignment="1">
      <alignment vertical="center"/>
    </xf>
    <xf numFmtId="0" fontId="0" fillId="3" borderId="29" xfId="0" applyFont="1" applyFill="1" applyBorder="1" applyAlignment="1">
      <alignment vertical="center"/>
    </xf>
    <xf numFmtId="49" fontId="0" fillId="2" borderId="6" xfId="0" applyNumberFormat="1" applyFont="1" applyFill="1" applyBorder="1" applyAlignment="1">
      <alignment vertical="center"/>
    </xf>
    <xf numFmtId="0" fontId="32" fillId="2" borderId="81" xfId="0" applyFont="1" applyFill="1" applyBorder="1" applyAlignment="1">
      <alignment vertical="center"/>
    </xf>
    <xf numFmtId="0" fontId="32" fillId="2" borderId="37" xfId="0" applyFont="1" applyFill="1" applyBorder="1" applyAlignment="1">
      <alignment vertical="center"/>
    </xf>
    <xf numFmtId="0" fontId="32" fillId="2" borderId="2" xfId="0" applyFont="1" applyFill="1" applyBorder="1" applyAlignment="1">
      <alignment vertical="center"/>
    </xf>
    <xf numFmtId="0" fontId="32" fillId="2" borderId="18" xfId="0" applyFont="1" applyFill="1" applyBorder="1" applyAlignment="1"/>
    <xf numFmtId="0" fontId="32" fillId="2" borderId="6" xfId="0" applyFont="1" applyFill="1" applyBorder="1" applyAlignment="1"/>
    <xf numFmtId="0" fontId="0" fillId="3" borderId="38" xfId="0" applyFont="1" applyFill="1" applyBorder="1" applyAlignment="1" applyProtection="1">
      <alignment vertical="top"/>
      <protection locked="0"/>
    </xf>
    <xf numFmtId="0" fontId="0" fillId="3" borderId="9" xfId="0" applyFont="1" applyFill="1" applyBorder="1" applyAlignment="1" applyProtection="1">
      <alignment vertical="top"/>
      <protection locked="0"/>
    </xf>
    <xf numFmtId="0" fontId="0" fillId="3" borderId="1" xfId="0" applyFont="1" applyFill="1" applyBorder="1" applyAlignment="1" applyProtection="1">
      <alignment vertical="top"/>
      <protection locked="0"/>
    </xf>
    <xf numFmtId="0" fontId="12" fillId="2" borderId="0" xfId="0" applyFont="1" applyFill="1" applyBorder="1" applyAlignment="1">
      <alignment vertical="center"/>
    </xf>
    <xf numFmtId="0" fontId="0" fillId="3" borderId="6" xfId="0" applyFont="1" applyFill="1" applyBorder="1" applyAlignment="1">
      <alignment vertical="center"/>
    </xf>
    <xf numFmtId="0" fontId="12" fillId="2" borderId="25" xfId="0" applyFont="1" applyFill="1" applyBorder="1" applyAlignment="1">
      <alignment vertical="center" wrapText="1"/>
    </xf>
    <xf numFmtId="0" fontId="12" fillId="2" borderId="0" xfId="0" applyFont="1" applyFill="1" applyBorder="1" applyAlignment="1">
      <alignment vertical="center" wrapText="1"/>
    </xf>
    <xf numFmtId="49" fontId="0" fillId="3" borderId="0" xfId="0" applyNumberFormat="1" applyFont="1" applyFill="1" applyBorder="1" applyAlignment="1">
      <alignment vertical="center"/>
    </xf>
    <xf numFmtId="49" fontId="0" fillId="3" borderId="41" xfId="0" applyNumberFormat="1" applyFont="1" applyFill="1" applyBorder="1" applyAlignment="1">
      <alignment vertical="center"/>
    </xf>
    <xf numFmtId="0" fontId="34" fillId="2" borderId="0" xfId="0" applyFont="1" applyFill="1" applyAlignment="1">
      <alignment vertical="top" wrapText="1"/>
    </xf>
    <xf numFmtId="0" fontId="34" fillId="2" borderId="0" xfId="0" applyFont="1" applyFill="1"/>
    <xf numFmtId="0" fontId="17" fillId="2" borderId="57" xfId="0" applyFont="1" applyFill="1" applyBorder="1" applyAlignment="1">
      <alignment horizontal="center" wrapText="1"/>
    </xf>
    <xf numFmtId="0" fontId="17" fillId="2" borderId="59" xfId="0" applyFont="1" applyFill="1" applyBorder="1" applyAlignment="1">
      <alignment horizontal="center" wrapText="1"/>
    </xf>
    <xf numFmtId="0" fontId="12" fillId="2" borderId="75" xfId="0" applyFont="1" applyFill="1" applyBorder="1" applyAlignment="1">
      <alignment wrapText="1"/>
    </xf>
    <xf numFmtId="0" fontId="12" fillId="2" borderId="42" xfId="0" applyFont="1" applyFill="1" applyBorder="1" applyAlignment="1">
      <alignment wrapText="1"/>
    </xf>
    <xf numFmtId="0" fontId="12" fillId="2" borderId="18" xfId="0" applyFont="1" applyFill="1" applyBorder="1" applyAlignment="1">
      <alignment wrapText="1"/>
    </xf>
    <xf numFmtId="0" fontId="12" fillId="2" borderId="6" xfId="0" applyFont="1" applyFill="1" applyBorder="1" applyAlignment="1">
      <alignment wrapText="1"/>
    </xf>
    <xf numFmtId="0" fontId="12" fillId="2" borderId="81" xfId="0" applyFont="1" applyFill="1" applyBorder="1" applyAlignment="1">
      <alignment wrapText="1"/>
    </xf>
    <xf numFmtId="0" fontId="12" fillId="2" borderId="19" xfId="0" applyFont="1" applyFill="1" applyBorder="1" applyAlignment="1">
      <alignment wrapText="1"/>
    </xf>
    <xf numFmtId="0" fontId="12" fillId="2" borderId="20" xfId="0" applyFont="1" applyFill="1" applyBorder="1" applyAlignment="1">
      <alignment wrapText="1"/>
    </xf>
    <xf numFmtId="0" fontId="12" fillId="2" borderId="5" xfId="0" applyFont="1" applyFill="1" applyBorder="1" applyAlignment="1">
      <alignment wrapText="1"/>
    </xf>
    <xf numFmtId="0" fontId="12" fillId="2" borderId="8" xfId="0" applyFont="1" applyFill="1" applyBorder="1" applyAlignment="1">
      <alignment wrapText="1"/>
    </xf>
    <xf numFmtId="0" fontId="12" fillId="0" borderId="34" xfId="0" applyFont="1" applyBorder="1" applyAlignment="1">
      <alignment wrapText="1"/>
    </xf>
    <xf numFmtId="0" fontId="12" fillId="0" borderId="12" xfId="0" applyFont="1" applyBorder="1" applyAlignment="1">
      <alignment wrapText="1"/>
    </xf>
    <xf numFmtId="0" fontId="12" fillId="2" borderId="76" xfId="0" applyFont="1" applyFill="1" applyBorder="1" applyAlignment="1">
      <alignment wrapText="1"/>
    </xf>
    <xf numFmtId="0" fontId="10" fillId="2" borderId="18" xfId="0" applyFont="1" applyFill="1" applyBorder="1" applyAlignment="1">
      <alignment wrapText="1"/>
    </xf>
    <xf numFmtId="0" fontId="10" fillId="2" borderId="6" xfId="0" applyFont="1" applyFill="1" applyBorder="1" applyAlignment="1">
      <alignment wrapText="1"/>
    </xf>
    <xf numFmtId="0" fontId="0" fillId="3" borderId="16" xfId="0" applyFont="1" applyFill="1" applyBorder="1" applyAlignment="1">
      <alignment vertical="center"/>
    </xf>
    <xf numFmtId="0" fontId="0" fillId="2" borderId="18" xfId="0" applyFont="1" applyFill="1" applyBorder="1" applyAlignment="1">
      <alignment vertical="center"/>
    </xf>
    <xf numFmtId="0" fontId="0" fillId="2" borderId="6" xfId="0" applyFont="1" applyFill="1" applyBorder="1" applyAlignment="1">
      <alignment vertical="center"/>
    </xf>
    <xf numFmtId="0" fontId="0" fillId="3" borderId="17" xfId="0" applyFont="1" applyFill="1" applyBorder="1" applyAlignment="1">
      <alignment vertical="top"/>
    </xf>
    <xf numFmtId="0" fontId="0" fillId="3" borderId="0" xfId="0" applyFont="1" applyFill="1" applyBorder="1" applyAlignment="1">
      <alignment vertical="top"/>
    </xf>
    <xf numFmtId="0" fontId="0" fillId="3" borderId="30" xfId="0" applyFont="1" applyFill="1" applyBorder="1" applyAlignment="1">
      <alignment vertical="top"/>
    </xf>
    <xf numFmtId="0" fontId="12" fillId="0" borderId="18" xfId="0" applyFont="1" applyBorder="1" applyAlignment="1">
      <alignment vertical="center" wrapText="1"/>
    </xf>
    <xf numFmtId="0" fontId="12" fillId="0" borderId="6" xfId="0" applyFont="1" applyBorder="1" applyAlignment="1">
      <alignment vertical="center" wrapText="1"/>
    </xf>
    <xf numFmtId="0" fontId="12" fillId="0" borderId="81" xfId="0" applyFont="1" applyBorder="1" applyAlignment="1">
      <alignment wrapText="1"/>
    </xf>
    <xf numFmtId="0" fontId="12" fillId="0" borderId="53" xfId="0" applyFont="1" applyBorder="1" applyAlignment="1">
      <alignment wrapText="1"/>
    </xf>
    <xf numFmtId="0" fontId="12" fillId="0" borderId="7" xfId="0" applyFont="1" applyBorder="1" applyAlignment="1">
      <alignment wrapText="1"/>
    </xf>
    <xf numFmtId="0" fontId="0" fillId="2" borderId="24" xfId="0" applyFill="1" applyBorder="1" applyAlignment="1"/>
    <xf numFmtId="0" fontId="0" fillId="2" borderId="27" xfId="0" applyFill="1" applyBorder="1" applyAlignment="1"/>
    <xf numFmtId="0" fontId="0" fillId="2" borderId="80" xfId="0" applyFill="1" applyBorder="1" applyAlignment="1"/>
    <xf numFmtId="0" fontId="0" fillId="2" borderId="14" xfId="0" applyFill="1" applyBorder="1" applyAlignment="1"/>
    <xf numFmtId="0" fontId="0" fillId="2" borderId="9" xfId="0" applyFill="1" applyBorder="1" applyAlignment="1"/>
    <xf numFmtId="0" fontId="0" fillId="2" borderId="72" xfId="0" applyFill="1" applyBorder="1" applyAlignment="1"/>
    <xf numFmtId="0" fontId="0" fillId="2" borderId="64" xfId="0" applyFill="1" applyBorder="1" applyAlignment="1"/>
    <xf numFmtId="0" fontId="0" fillId="2" borderId="73" xfId="0" applyFill="1" applyBorder="1" applyAlignment="1"/>
    <xf numFmtId="0" fontId="0" fillId="2" borderId="77" xfId="0" applyFill="1" applyBorder="1" applyAlignment="1"/>
    <xf numFmtId="0" fontId="0" fillId="2" borderId="14" xfId="0" applyFill="1" applyBorder="1" applyAlignment="1">
      <alignment wrapText="1"/>
    </xf>
    <xf numFmtId="0" fontId="0" fillId="2" borderId="9" xfId="0" applyFill="1" applyBorder="1" applyAlignment="1">
      <alignment wrapText="1"/>
    </xf>
    <xf numFmtId="0" fontId="0" fillId="2" borderId="72" xfId="0" applyFill="1" applyBorder="1" applyAlignment="1">
      <alignment wrapText="1"/>
    </xf>
    <xf numFmtId="0" fontId="12" fillId="2" borderId="64" xfId="0" applyFont="1" applyFill="1" applyBorder="1" applyAlignment="1">
      <alignment wrapText="1"/>
    </xf>
    <xf numFmtId="0" fontId="12" fillId="2" borderId="73" xfId="0" applyFont="1" applyFill="1" applyBorder="1" applyAlignment="1">
      <alignment wrapText="1"/>
    </xf>
    <xf numFmtId="0" fontId="12" fillId="2" borderId="77" xfId="0" applyFont="1" applyFill="1" applyBorder="1" applyAlignment="1">
      <alignment wrapText="1"/>
    </xf>
    <xf numFmtId="0" fontId="24" fillId="4" borderId="17" xfId="0" applyFont="1" applyFill="1" applyBorder="1" applyAlignment="1">
      <alignment vertical="center"/>
    </xf>
    <xf numFmtId="0" fontId="24" fillId="4" borderId="0" xfId="0" applyFont="1" applyFill="1" applyBorder="1" applyAlignment="1">
      <alignment vertical="center"/>
    </xf>
    <xf numFmtId="0" fontId="12" fillId="2" borderId="72" xfId="0" applyFont="1" applyFill="1" applyBorder="1" applyAlignment="1">
      <alignment wrapText="1"/>
    </xf>
    <xf numFmtId="0" fontId="25" fillId="7" borderId="0" xfId="0" applyFont="1" applyFill="1" applyAlignment="1">
      <alignment vertical="center"/>
    </xf>
    <xf numFmtId="0" fontId="0" fillId="2" borderId="53" xfId="0" applyFont="1" applyFill="1" applyBorder="1" applyAlignment="1"/>
    <xf numFmtId="0" fontId="0" fillId="2" borderId="7" xfId="0" applyFont="1" applyFill="1" applyBorder="1" applyAlignment="1"/>
    <xf numFmtId="0" fontId="0" fillId="2" borderId="48" xfId="0" applyFont="1" applyFill="1" applyBorder="1" applyAlignment="1"/>
    <xf numFmtId="0" fontId="12" fillId="3" borderId="0" xfId="0" applyFont="1" applyFill="1" applyBorder="1" applyAlignment="1">
      <alignment vertical="center" wrapText="1"/>
    </xf>
    <xf numFmtId="0" fontId="12" fillId="3" borderId="41" xfId="0" applyFont="1" applyFill="1" applyBorder="1" applyAlignment="1">
      <alignment vertical="center" wrapText="1"/>
    </xf>
    <xf numFmtId="0" fontId="0" fillId="2" borderId="23" xfId="0" applyFill="1" applyBorder="1" applyAlignment="1"/>
    <xf numFmtId="0" fontId="0" fillId="2" borderId="20" xfId="0" applyFill="1" applyBorder="1" applyAlignment="1"/>
    <xf numFmtId="0" fontId="0" fillId="2" borderId="76" xfId="0" applyFill="1" applyBorder="1" applyAlignment="1"/>
    <xf numFmtId="0" fontId="17" fillId="4" borderId="17" xfId="0" applyFont="1" applyFill="1" applyBorder="1" applyAlignment="1">
      <alignment wrapText="1"/>
    </xf>
    <xf numFmtId="0" fontId="17" fillId="4" borderId="0" xfId="0" applyFont="1" applyFill="1" applyBorder="1" applyAlignment="1">
      <alignment wrapText="1"/>
    </xf>
    <xf numFmtId="0" fontId="7" fillId="2" borderId="0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wrapText="1"/>
    </xf>
    <xf numFmtId="0" fontId="10" fillId="4" borderId="25" xfId="0" applyFont="1" applyFill="1" applyBorder="1" applyAlignment="1">
      <alignment horizontal="center"/>
    </xf>
    <xf numFmtId="0" fontId="10" fillId="4" borderId="41" xfId="0" applyFont="1" applyFill="1" applyBorder="1" applyAlignment="1">
      <alignment horizontal="center"/>
    </xf>
    <xf numFmtId="0" fontId="0" fillId="4" borderId="17" xfId="0" applyFont="1" applyFill="1" applyBorder="1" applyAlignment="1"/>
    <xf numFmtId="0" fontId="0" fillId="4" borderId="0" xfId="0" applyFont="1" applyFill="1" applyBorder="1" applyAlignment="1"/>
    <xf numFmtId="0" fontId="0" fillId="4" borderId="30" xfId="0" applyFont="1" applyFill="1" applyBorder="1" applyAlignment="1"/>
    <xf numFmtId="0" fontId="0" fillId="3" borderId="6" xfId="0" applyFont="1" applyFill="1" applyBorder="1" applyAlignment="1">
      <alignment vertical="top"/>
    </xf>
    <xf numFmtId="0" fontId="0" fillId="3" borderId="16" xfId="0" applyFont="1" applyFill="1" applyBorder="1" applyAlignment="1">
      <alignment vertical="top"/>
    </xf>
    <xf numFmtId="0" fontId="10" fillId="4" borderId="25" xfId="0" applyFont="1" applyFill="1" applyBorder="1"/>
    <xf numFmtId="0" fontId="10" fillId="4" borderId="0" xfId="0" applyFont="1" applyFill="1" applyBorder="1"/>
    <xf numFmtId="0" fontId="10" fillId="4" borderId="41" xfId="0" applyFont="1" applyFill="1" applyBorder="1"/>
    <xf numFmtId="0" fontId="0" fillId="2" borderId="30" xfId="0" applyFont="1" applyFill="1" applyBorder="1" applyAlignment="1"/>
    <xf numFmtId="0" fontId="10" fillId="4" borderId="30" xfId="0" applyFont="1" applyFill="1" applyBorder="1" applyAlignment="1">
      <alignment horizontal="center"/>
    </xf>
    <xf numFmtId="0" fontId="12" fillId="2" borderId="6" xfId="0" applyFont="1" applyFill="1" applyBorder="1" applyAlignment="1"/>
    <xf numFmtId="0" fontId="12" fillId="2" borderId="29" xfId="0" applyFont="1" applyFill="1" applyBorder="1" applyAlignment="1"/>
    <xf numFmtId="0" fontId="0" fillId="2" borderId="42" xfId="0" applyFill="1" applyBorder="1" applyAlignment="1"/>
    <xf numFmtId="0" fontId="0" fillId="2" borderId="42" xfId="0" applyFill="1" applyBorder="1" applyAlignment="1">
      <alignment wrapText="1"/>
    </xf>
    <xf numFmtId="0" fontId="12" fillId="2" borderId="20" xfId="0" applyFont="1" applyFill="1" applyBorder="1" applyAlignment="1"/>
    <xf numFmtId="0" fontId="12" fillId="2" borderId="76" xfId="0" applyFont="1" applyFill="1" applyBorder="1" applyAlignment="1"/>
    <xf numFmtId="0" fontId="0" fillId="2" borderId="10" xfId="0" applyFont="1" applyFill="1" applyBorder="1" applyAlignment="1">
      <alignment vertical="center"/>
    </xf>
    <xf numFmtId="0" fontId="0" fillId="2" borderId="14" xfId="0" applyFont="1" applyFill="1" applyBorder="1" applyAlignment="1">
      <alignment vertical="center"/>
    </xf>
    <xf numFmtId="0" fontId="12" fillId="0" borderId="77" xfId="0" applyFont="1" applyBorder="1" applyAlignment="1"/>
    <xf numFmtId="0" fontId="0" fillId="0" borderId="78" xfId="0" applyBorder="1" applyAlignment="1"/>
    <xf numFmtId="0" fontId="0" fillId="0" borderId="79" xfId="0" applyBorder="1" applyAlignment="1"/>
    <xf numFmtId="0" fontId="0" fillId="0" borderId="9" xfId="0" applyBorder="1" applyAlignment="1"/>
    <xf numFmtId="0" fontId="0" fillId="0" borderId="72" xfId="0" applyBorder="1" applyAlignment="1"/>
    <xf numFmtId="0" fontId="12" fillId="0" borderId="27" xfId="0" applyFont="1" applyBorder="1" applyAlignment="1"/>
    <xf numFmtId="0" fontId="12" fillId="0" borderId="80" xfId="0" applyFont="1" applyBorder="1" applyAlignment="1"/>
    <xf numFmtId="0" fontId="12" fillId="0" borderId="20" xfId="0" applyFont="1" applyBorder="1" applyAlignment="1"/>
    <xf numFmtId="0" fontId="12" fillId="0" borderId="76" xfId="0" applyFont="1" applyBorder="1" applyAlignment="1"/>
    <xf numFmtId="0" fontId="12" fillId="2" borderId="14" xfId="0" applyFont="1" applyFill="1" applyBorder="1" applyAlignment="1">
      <alignment wrapText="1" readingOrder="1"/>
    </xf>
    <xf numFmtId="0" fontId="12" fillId="2" borderId="9" xfId="0" applyFont="1" applyFill="1" applyBorder="1" applyAlignment="1">
      <alignment wrapText="1" readingOrder="1"/>
    </xf>
    <xf numFmtId="0" fontId="12" fillId="2" borderId="72" xfId="0" applyFont="1" applyFill="1" applyBorder="1" applyAlignment="1">
      <alignment wrapText="1" readingOrder="1"/>
    </xf>
    <xf numFmtId="0" fontId="0" fillId="2" borderId="38" xfId="0" applyFont="1" applyFill="1" applyBorder="1"/>
    <xf numFmtId="0" fontId="0" fillId="2" borderId="9" xfId="0" applyFont="1" applyFill="1" applyBorder="1"/>
    <xf numFmtId="0" fontId="0" fillId="3" borderId="30" xfId="0" applyFont="1" applyFill="1" applyBorder="1" applyAlignment="1"/>
    <xf numFmtId="0" fontId="0" fillId="3" borderId="1" xfId="0" applyFont="1" applyFill="1" applyBorder="1" applyAlignment="1"/>
    <xf numFmtId="1" fontId="17" fillId="4" borderId="25" xfId="0" applyNumberFormat="1" applyFont="1" applyFill="1" applyBorder="1" applyAlignment="1">
      <alignment horizontal="center" wrapText="1"/>
    </xf>
    <xf numFmtId="1" fontId="17" fillId="4" borderId="30" xfId="0" applyNumberFormat="1" applyFont="1" applyFill="1" applyBorder="1" applyAlignment="1">
      <alignment horizontal="center" wrapText="1"/>
    </xf>
  </cellXfs>
  <cellStyles count="2">
    <cellStyle name="Hyperlä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1441450</xdr:colOff>
          <xdr:row>4</xdr:row>
          <xdr:rowOff>12700</xdr:rowOff>
        </xdr:from>
        <xdr:to>
          <xdr:col>1</xdr:col>
          <xdr:colOff>628650</xdr:colOff>
          <xdr:row>5</xdr:row>
          <xdr:rowOff>0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Skola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933450</xdr:colOff>
          <xdr:row>4</xdr:row>
          <xdr:rowOff>12700</xdr:rowOff>
        </xdr:from>
        <xdr:to>
          <xdr:col>1</xdr:col>
          <xdr:colOff>1819275</xdr:colOff>
          <xdr:row>5</xdr:row>
          <xdr:rowOff>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Förskola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2108200</xdr:colOff>
          <xdr:row>4</xdr:row>
          <xdr:rowOff>12700</xdr:rowOff>
        </xdr:from>
        <xdr:to>
          <xdr:col>3</xdr:col>
          <xdr:colOff>533400</xdr:colOff>
          <xdr:row>5</xdr:row>
          <xdr:rowOff>0</xdr:rowOff>
        </xdr:to>
        <xdr:sp macro="" textlink="">
          <xdr:nvSpPr>
            <xdr:cNvPr id="1060" name="Option 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Bostad med särskild service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946150</xdr:colOff>
          <xdr:row>4</xdr:row>
          <xdr:rowOff>12700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Vård- och omsorgsboende för äldre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203200</xdr:colOff>
          <xdr:row>4</xdr:row>
          <xdr:rowOff>12700</xdr:rowOff>
        </xdr:from>
        <xdr:to>
          <xdr:col>7</xdr:col>
          <xdr:colOff>685800</xdr:colOff>
          <xdr:row>4</xdr:row>
          <xdr:rowOff>219075</xdr:rowOff>
        </xdr:to>
        <xdr:sp macro="" textlink="">
          <xdr:nvSpPr>
            <xdr:cNvPr id="1067" name="Option 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Blandad/Annan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1346200</xdr:colOff>
          <xdr:row>57</xdr:row>
          <xdr:rowOff>12700</xdr:rowOff>
        </xdr:from>
        <xdr:to>
          <xdr:col>1</xdr:col>
          <xdr:colOff>1781175</xdr:colOff>
          <xdr:row>57</xdr:row>
          <xdr:rowOff>219075</xdr:rowOff>
        </xdr:to>
        <xdr:sp macro="" textlink="">
          <xdr:nvSpPr>
            <xdr:cNvPr id="1076" name="Option 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1879600</xdr:colOff>
          <xdr:row>57</xdr:row>
          <xdr:rowOff>19050</xdr:rowOff>
        </xdr:from>
        <xdr:to>
          <xdr:col>2</xdr:col>
          <xdr:colOff>238125</xdr:colOff>
          <xdr:row>57</xdr:row>
          <xdr:rowOff>219075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298450</xdr:colOff>
          <xdr:row>57</xdr:row>
          <xdr:rowOff>12700</xdr:rowOff>
        </xdr:from>
        <xdr:to>
          <xdr:col>2</xdr:col>
          <xdr:colOff>800100</xdr:colOff>
          <xdr:row>58</xdr:row>
          <xdr:rowOff>0</xdr:rowOff>
        </xdr:to>
        <xdr:sp macro="" textlink="">
          <xdr:nvSpPr>
            <xdr:cNvPr id="1078" name="Option 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1790700</xdr:colOff>
          <xdr:row>46</xdr:row>
          <xdr:rowOff>222250</xdr:rowOff>
        </xdr:from>
        <xdr:to>
          <xdr:col>4</xdr:col>
          <xdr:colOff>371475</xdr:colOff>
          <xdr:row>48</xdr:row>
          <xdr:rowOff>19050</xdr:rowOff>
        </xdr:to>
        <xdr:sp macro="" textlink="">
          <xdr:nvSpPr>
            <xdr:cNvPr id="1091" name="Option 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Projektspecifik beräkning med simuleringsprogram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412750</xdr:colOff>
          <xdr:row>47</xdr:row>
          <xdr:rowOff>31750</xdr:rowOff>
        </xdr:from>
        <xdr:to>
          <xdr:col>5</xdr:col>
          <xdr:colOff>600075</xdr:colOff>
          <xdr:row>47</xdr:row>
          <xdr:rowOff>219075</xdr:rowOff>
        </xdr:to>
        <xdr:sp macro="" textlink="">
          <xdr:nvSpPr>
            <xdr:cNvPr id="1092" name="Option 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Katalogvärden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488950</xdr:colOff>
          <xdr:row>47</xdr:row>
          <xdr:rowOff>12700</xdr:rowOff>
        </xdr:from>
        <xdr:to>
          <xdr:col>6</xdr:col>
          <xdr:colOff>523875</xdr:colOff>
          <xdr:row>48</xdr:row>
          <xdr:rowOff>9525</xdr:rowOff>
        </xdr:to>
        <xdr:sp macro="" textlink="">
          <xdr:nvSpPr>
            <xdr:cNvPr id="1093" name="Option 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Schablonpåslag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47</xdr:row>
          <xdr:rowOff>12700</xdr:rowOff>
        </xdr:from>
        <xdr:to>
          <xdr:col>7</xdr:col>
          <xdr:colOff>923925</xdr:colOff>
          <xdr:row>48</xdr:row>
          <xdr:rowOff>0</xdr:rowOff>
        </xdr:to>
        <xdr:sp macro="" textlink="">
          <xdr:nvSpPr>
            <xdr:cNvPr id="1100" name="Option 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Inkluderat i U-värden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AADB6-DF10-4489-98F4-FF88FC4FE225}">
  <sheetPr codeName="Blad1">
    <pageSetUpPr fitToPage="1"/>
  </sheetPr>
  <dimension ref="A1:AP381"/>
  <sheetViews>
    <sheetView showGridLines="0" tabSelected="1" zoomScale="85" zoomScaleNormal="85" zoomScaleSheetLayoutView="142" zoomScalePageLayoutView="60" workbookViewId="0">
      <selection activeCell="J19" sqref="J19"/>
    </sheetView>
  </sheetViews>
  <sheetFormatPr defaultRowHeight="14.5" x14ac:dyDescent="0.35"/>
  <cols>
    <col min="1" max="1" width="20.81640625" customWidth="1"/>
    <col min="2" max="2" width="30.453125" customWidth="1"/>
    <col min="3" max="8" width="14.453125" customWidth="1"/>
    <col min="9" max="9" width="8.7265625" style="2"/>
    <col min="10" max="10" width="33.1796875" style="40" bestFit="1" customWidth="1"/>
    <col min="11" max="11" width="8.7265625" style="2"/>
    <col min="12" max="12" width="16.453125" style="2" customWidth="1"/>
    <col min="13" max="42" width="8.7265625" style="2"/>
  </cols>
  <sheetData>
    <row r="1" spans="1:42" s="2" customFormat="1" ht="28.5" x14ac:dyDescent="0.35">
      <c r="A1" s="545" t="s">
        <v>44</v>
      </c>
      <c r="B1" s="545"/>
      <c r="C1" s="545"/>
      <c r="D1" s="545"/>
      <c r="E1" s="545"/>
      <c r="F1" s="545"/>
      <c r="G1" s="545"/>
      <c r="H1" s="545"/>
      <c r="J1" s="39"/>
    </row>
    <row r="2" spans="1:42" s="2" customFormat="1" ht="18" customHeight="1" x14ac:dyDescent="0.35">
      <c r="J2" s="18"/>
    </row>
    <row r="3" spans="1:42" s="2" customFormat="1" ht="18" customHeight="1" x14ac:dyDescent="0.35">
      <c r="A3" s="476" t="s">
        <v>39</v>
      </c>
      <c r="B3" s="477"/>
      <c r="C3" s="477"/>
      <c r="D3" s="477"/>
      <c r="E3" s="477"/>
      <c r="F3" s="477"/>
      <c r="G3" s="477"/>
      <c r="H3" s="478"/>
      <c r="J3" s="18"/>
    </row>
    <row r="4" spans="1:42" s="20" customFormat="1" ht="18" customHeight="1" x14ac:dyDescent="0.35">
      <c r="A4" s="107" t="s">
        <v>131</v>
      </c>
      <c r="B4" s="50" t="s">
        <v>249</v>
      </c>
      <c r="C4" s="111" t="s">
        <v>132</v>
      </c>
      <c r="D4" s="111">
        <v>22036</v>
      </c>
      <c r="E4" s="174"/>
      <c r="F4" s="492" t="s">
        <v>250</v>
      </c>
      <c r="G4" s="492"/>
      <c r="H4" s="176"/>
    </row>
    <row r="5" spans="1:42" s="20" customFormat="1" ht="18" customHeight="1" x14ac:dyDescent="0.35">
      <c r="A5" s="112" t="s">
        <v>133</v>
      </c>
      <c r="B5" s="493"/>
      <c r="C5" s="493"/>
      <c r="D5" s="493"/>
      <c r="E5" s="493"/>
      <c r="F5" s="493"/>
      <c r="G5" s="493"/>
      <c r="H5" s="482"/>
    </row>
    <row r="6" spans="1:42" s="18" customFormat="1" ht="18" customHeight="1" x14ac:dyDescent="0.35">
      <c r="A6" s="22"/>
      <c r="D6" s="7"/>
    </row>
    <row r="7" spans="1:42" s="21" customFormat="1" ht="18" customHeight="1" x14ac:dyDescent="0.35">
      <c r="A7" s="476" t="s">
        <v>50</v>
      </c>
      <c r="B7" s="477"/>
      <c r="C7" s="477"/>
      <c r="D7" s="477"/>
      <c r="E7" s="477"/>
      <c r="F7" s="477" t="s">
        <v>51</v>
      </c>
      <c r="G7" s="477"/>
      <c r="H7" s="175" t="s">
        <v>52</v>
      </c>
      <c r="I7" s="23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2" s="113" customFormat="1" ht="18" customHeight="1" x14ac:dyDescent="0.35">
      <c r="A8" s="108" t="s">
        <v>4</v>
      </c>
      <c r="B8" s="179"/>
      <c r="C8" s="49" t="s">
        <v>66</v>
      </c>
      <c r="D8" s="479"/>
      <c r="E8" s="480"/>
      <c r="F8" s="481" t="s">
        <v>179</v>
      </c>
      <c r="G8" s="482"/>
      <c r="H8" s="178">
        <v>45561</v>
      </c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</row>
    <row r="9" spans="1:42" s="20" customFormat="1" ht="18" customHeight="1" x14ac:dyDescent="0.35">
      <c r="A9" s="25"/>
      <c r="B9" s="177"/>
      <c r="C9" s="25"/>
      <c r="D9" s="177"/>
      <c r="E9" s="177"/>
      <c r="F9" s="111"/>
      <c r="G9" s="111"/>
      <c r="H9" s="130"/>
    </row>
    <row r="10" spans="1:42" s="21" customFormat="1" ht="18" customHeight="1" x14ac:dyDescent="0.35">
      <c r="A10" s="476" t="s">
        <v>149</v>
      </c>
      <c r="B10" s="477"/>
      <c r="C10" s="477"/>
      <c r="D10" s="477" t="s">
        <v>189</v>
      </c>
      <c r="E10" s="477"/>
      <c r="F10" s="477"/>
      <c r="G10" s="477"/>
      <c r="H10" s="478"/>
      <c r="I10" s="23"/>
      <c r="J10" s="40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2" s="113" customFormat="1" ht="18" customHeight="1" x14ac:dyDescent="0.35">
      <c r="A11" s="494" t="s">
        <v>191</v>
      </c>
      <c r="B11" s="495"/>
      <c r="C11" s="259"/>
      <c r="D11" s="549"/>
      <c r="E11" s="549"/>
      <c r="F11" s="549"/>
      <c r="G11" s="549"/>
      <c r="H11" s="550"/>
      <c r="I11" s="20"/>
      <c r="J11" s="115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</row>
    <row r="12" spans="1:42" s="113" customFormat="1" ht="18" customHeight="1" x14ac:dyDescent="0.35">
      <c r="A12" s="494" t="s">
        <v>192</v>
      </c>
      <c r="B12" s="495"/>
      <c r="C12" s="495"/>
      <c r="D12" s="496"/>
      <c r="E12" s="496"/>
      <c r="F12" s="496"/>
      <c r="G12" s="496"/>
      <c r="H12" s="497"/>
      <c r="I12" s="20"/>
      <c r="J12" s="115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</row>
    <row r="13" spans="1:42" s="113" customFormat="1" ht="18" customHeight="1" x14ac:dyDescent="0.35">
      <c r="A13" s="108" t="s">
        <v>190</v>
      </c>
      <c r="B13" s="49"/>
      <c r="C13" s="49"/>
      <c r="D13" s="479"/>
      <c r="E13" s="479"/>
      <c r="F13" s="479"/>
      <c r="G13" s="479"/>
      <c r="H13" s="480"/>
      <c r="I13" s="20"/>
      <c r="J13" s="115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</row>
    <row r="14" spans="1:42" s="21" customFormat="1" ht="18" customHeight="1" x14ac:dyDescent="0.35">
      <c r="A14" s="24"/>
      <c r="B14" s="20"/>
      <c r="C14" s="20"/>
      <c r="D14" s="18"/>
      <c r="E14" s="18"/>
      <c r="F14" s="18"/>
      <c r="G14" s="18"/>
      <c r="H14" s="18"/>
      <c r="I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2" s="21" customFormat="1" ht="18" customHeight="1" x14ac:dyDescent="0.35">
      <c r="A15" s="476" t="s">
        <v>244</v>
      </c>
      <c r="B15" s="477"/>
      <c r="C15" s="477"/>
      <c r="D15" s="477"/>
      <c r="E15" s="477"/>
      <c r="F15" s="477"/>
      <c r="G15" s="477"/>
      <c r="H15" s="175" t="s">
        <v>52</v>
      </c>
      <c r="I15" s="18"/>
      <c r="K15" s="18"/>
      <c r="L15" s="24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2" s="113" customFormat="1" ht="18" customHeight="1" x14ac:dyDescent="0.35">
      <c r="A16" s="108" t="s">
        <v>4</v>
      </c>
      <c r="B16" s="483"/>
      <c r="C16" s="483"/>
      <c r="D16" s="483"/>
      <c r="E16" s="483"/>
      <c r="F16" s="483"/>
      <c r="G16" s="483"/>
      <c r="H16" s="114" t="s">
        <v>53</v>
      </c>
      <c r="I16" s="20"/>
      <c r="K16" s="20"/>
      <c r="L16" s="24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</row>
    <row r="17" spans="1:42" s="18" customFormat="1" ht="18" customHeight="1" x14ac:dyDescent="0.35"/>
    <row r="18" spans="1:42" s="8" customFormat="1" ht="18" customHeight="1" x14ac:dyDescent="0.35">
      <c r="A18" s="7"/>
      <c r="B18" s="7"/>
      <c r="C18" s="7"/>
      <c r="D18" s="7"/>
      <c r="E18" s="7"/>
      <c r="F18" s="7"/>
      <c r="G18" s="7"/>
      <c r="H18" s="7"/>
      <c r="I18" s="7"/>
      <c r="J18" s="18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s="8" customFormat="1" ht="23.5" x14ac:dyDescent="0.35">
      <c r="A19" s="16" t="s">
        <v>81</v>
      </c>
      <c r="B19" s="7"/>
      <c r="C19" s="7"/>
      <c r="D19" s="7"/>
      <c r="E19" s="7"/>
      <c r="F19" s="7"/>
      <c r="G19" s="7"/>
      <c r="H19" s="7"/>
      <c r="I19" s="7"/>
      <c r="J19" s="18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s="8" customFormat="1" ht="150" customHeight="1" x14ac:dyDescent="0.35">
      <c r="A20" s="498" t="s">
        <v>242</v>
      </c>
      <c r="B20" s="498"/>
      <c r="C20" s="498"/>
      <c r="D20" s="498"/>
      <c r="E20" s="498"/>
      <c r="F20" s="498"/>
      <c r="G20" s="86"/>
      <c r="H20" s="86"/>
      <c r="I20" s="7"/>
      <c r="J20" s="18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s="8" customFormat="1" ht="15.5" x14ac:dyDescent="0.35">
      <c r="A21" s="499" t="s">
        <v>248</v>
      </c>
      <c r="B21" s="499"/>
      <c r="C21" s="499"/>
      <c r="D21" s="499"/>
      <c r="E21" s="499"/>
      <c r="F21" s="499"/>
      <c r="G21" s="87"/>
      <c r="H21" s="87"/>
      <c r="I21" s="7"/>
      <c r="J21" s="21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s="18" customFormat="1" ht="18" customHeight="1" x14ac:dyDescent="0.35">
      <c r="A22" s="20"/>
      <c r="K22" s="26"/>
      <c r="L22" s="26"/>
      <c r="M22" s="26"/>
      <c r="N22" s="26"/>
      <c r="O22" s="26"/>
    </row>
    <row r="23" spans="1:42" s="21" customFormat="1" ht="18" customHeight="1" x14ac:dyDescent="0.35">
      <c r="A23" s="70"/>
      <c r="B23" s="20"/>
      <c r="C23" s="20"/>
      <c r="D23" s="18"/>
      <c r="E23" s="18"/>
      <c r="F23" s="18"/>
      <c r="G23" s="18"/>
      <c r="H23" s="18"/>
      <c r="I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s="2" customFormat="1" ht="23.5" x14ac:dyDescent="0.35">
      <c r="A24" s="16" t="s">
        <v>82</v>
      </c>
      <c r="J24" s="18"/>
    </row>
    <row r="25" spans="1:42" s="21" customFormat="1" ht="18" customHeight="1" thickBot="1" x14ac:dyDescent="0.4">
      <c r="A25" s="18"/>
      <c r="B25" s="18"/>
      <c r="C25" s="18"/>
      <c r="D25" s="18"/>
      <c r="E25" s="18"/>
      <c r="F25" s="18"/>
      <c r="G25" s="18"/>
      <c r="H25" s="18"/>
      <c r="I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</row>
    <row r="26" spans="1:42" s="2" customFormat="1" ht="18.5" x14ac:dyDescent="0.35">
      <c r="A26" s="356" t="s">
        <v>83</v>
      </c>
      <c r="B26" s="357"/>
      <c r="C26" s="357"/>
      <c r="D26" s="357"/>
      <c r="E26" s="357"/>
      <c r="F26" s="357"/>
      <c r="G26" s="357"/>
      <c r="H26" s="358"/>
      <c r="J26" s="18"/>
    </row>
    <row r="27" spans="1:42" ht="50.15" customHeight="1" thickBot="1" x14ac:dyDescent="0.4">
      <c r="A27" s="489" t="s">
        <v>49</v>
      </c>
      <c r="B27" s="490"/>
      <c r="C27" s="490"/>
      <c r="D27" s="490"/>
      <c r="E27" s="490"/>
      <c r="F27" s="490"/>
      <c r="G27" s="490"/>
      <c r="H27" s="491"/>
    </row>
    <row r="28" spans="1:42" s="18" customFormat="1" ht="18" customHeight="1" thickBot="1" x14ac:dyDescent="0.4">
      <c r="A28" s="19"/>
    </row>
    <row r="29" spans="1:42" s="2" customFormat="1" ht="18" customHeight="1" x14ac:dyDescent="0.35">
      <c r="A29" s="356" t="s">
        <v>130</v>
      </c>
      <c r="B29" s="357"/>
      <c r="C29" s="357"/>
      <c r="D29" s="357"/>
      <c r="E29" s="357"/>
      <c r="F29" s="357"/>
      <c r="G29" s="357"/>
      <c r="H29" s="358"/>
      <c r="J29" s="40"/>
      <c r="K29" s="3"/>
      <c r="L29" s="3"/>
    </row>
    <row r="30" spans="1:42" s="38" customFormat="1" ht="18" customHeight="1" x14ac:dyDescent="0.45">
      <c r="A30" s="487" t="s">
        <v>146</v>
      </c>
      <c r="B30" s="488"/>
      <c r="C30" s="488"/>
      <c r="D30" s="488"/>
      <c r="E30" s="488"/>
      <c r="F30" s="488"/>
      <c r="G30" s="161"/>
      <c r="H30" s="66" t="s">
        <v>12</v>
      </c>
      <c r="J30" s="33"/>
      <c r="K30" s="97"/>
      <c r="L30" s="97"/>
    </row>
    <row r="31" spans="1:42" s="2" customFormat="1" ht="18" customHeight="1" x14ac:dyDescent="0.35">
      <c r="A31" s="484"/>
      <c r="B31" s="485"/>
      <c r="C31" s="485"/>
      <c r="D31" s="485"/>
      <c r="E31" s="485"/>
      <c r="F31" s="485"/>
      <c r="G31" s="485"/>
      <c r="H31" s="486"/>
      <c r="J31" s="18"/>
      <c r="K31" s="3"/>
      <c r="L31" s="3"/>
    </row>
    <row r="32" spans="1:42" s="33" customFormat="1" ht="18" customHeight="1" x14ac:dyDescent="0.35">
      <c r="A32" s="554" t="s">
        <v>10</v>
      </c>
      <c r="B32" s="555"/>
      <c r="C32" s="389" t="s">
        <v>148</v>
      </c>
      <c r="D32" s="389"/>
      <c r="E32" s="173" t="s">
        <v>10</v>
      </c>
      <c r="F32" s="72"/>
      <c r="G32" s="389" t="s">
        <v>148</v>
      </c>
      <c r="H32" s="390"/>
      <c r="K32" s="90"/>
      <c r="L32" s="90"/>
    </row>
    <row r="33" spans="1:42" s="8" customFormat="1" ht="18" customHeight="1" x14ac:dyDescent="0.35">
      <c r="A33" s="522" t="s">
        <v>11</v>
      </c>
      <c r="B33" s="523"/>
      <c r="C33" s="161"/>
      <c r="D33" s="169" t="s">
        <v>147</v>
      </c>
      <c r="E33" s="448" t="s">
        <v>16</v>
      </c>
      <c r="F33" s="449"/>
      <c r="G33" s="51"/>
      <c r="H33" s="171" t="s">
        <v>147</v>
      </c>
      <c r="I33" s="7"/>
      <c r="J33" s="18"/>
      <c r="K33" s="12"/>
      <c r="L33" s="12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s="8" customFormat="1" ht="18" customHeight="1" x14ac:dyDescent="0.35">
      <c r="A34" s="524" t="s">
        <v>13</v>
      </c>
      <c r="B34" s="451"/>
      <c r="C34" s="162"/>
      <c r="D34" s="170" t="s">
        <v>147</v>
      </c>
      <c r="E34" s="450" t="s">
        <v>17</v>
      </c>
      <c r="F34" s="451"/>
      <c r="G34" s="52"/>
      <c r="H34" s="172" t="s">
        <v>147</v>
      </c>
      <c r="I34" s="7"/>
      <c r="J34" s="18"/>
      <c r="K34" s="13"/>
      <c r="L34" s="11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s="8" customFormat="1" ht="18" customHeight="1" x14ac:dyDescent="0.35">
      <c r="A35" s="525" t="s">
        <v>14</v>
      </c>
      <c r="B35" s="526"/>
      <c r="C35" s="52"/>
      <c r="D35" s="170" t="s">
        <v>147</v>
      </c>
      <c r="E35" s="450" t="s">
        <v>18</v>
      </c>
      <c r="F35" s="451"/>
      <c r="G35" s="52"/>
      <c r="H35" s="172" t="s">
        <v>147</v>
      </c>
      <c r="I35" s="7"/>
      <c r="J35" s="18"/>
      <c r="K35" s="12"/>
      <c r="L35" s="12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" customHeight="1" x14ac:dyDescent="0.35">
      <c r="A36" s="524" t="s">
        <v>15</v>
      </c>
      <c r="B36" s="451"/>
      <c r="C36" s="162"/>
      <c r="D36" s="170" t="s">
        <v>147</v>
      </c>
      <c r="E36" s="450" t="s">
        <v>162</v>
      </c>
      <c r="F36" s="451"/>
      <c r="G36" s="162"/>
      <c r="H36" s="172" t="s">
        <v>147</v>
      </c>
      <c r="J36" s="42"/>
      <c r="K36" s="5"/>
      <c r="L36" s="85"/>
    </row>
    <row r="37" spans="1:42" ht="18" customHeight="1" thickBot="1" x14ac:dyDescent="0.4">
      <c r="A37" s="163"/>
      <c r="B37" s="164"/>
      <c r="C37" s="165"/>
      <c r="D37" s="166" t="s">
        <v>147</v>
      </c>
      <c r="E37" s="168"/>
      <c r="F37" s="164"/>
      <c r="G37" s="165"/>
      <c r="H37" s="167" t="s">
        <v>147</v>
      </c>
      <c r="J37" s="110"/>
      <c r="K37" s="3"/>
      <c r="L37" s="3"/>
    </row>
    <row r="38" spans="1:42" s="18" customFormat="1" ht="18" customHeight="1" thickBot="1" x14ac:dyDescent="0.4">
      <c r="A38" s="20"/>
      <c r="K38" s="26"/>
      <c r="L38" s="26"/>
    </row>
    <row r="39" spans="1:42" ht="18" customHeight="1" x14ac:dyDescent="0.35">
      <c r="A39" s="356" t="s">
        <v>84</v>
      </c>
      <c r="B39" s="357"/>
      <c r="C39" s="357"/>
      <c r="D39" s="357"/>
      <c r="E39" s="357"/>
      <c r="F39" s="357"/>
      <c r="G39" s="357"/>
      <c r="H39" s="358"/>
      <c r="K39" s="5"/>
      <c r="L39" s="4"/>
    </row>
    <row r="40" spans="1:42" s="21" customFormat="1" ht="18" customHeight="1" x14ac:dyDescent="0.45">
      <c r="A40" s="504" t="s">
        <v>57</v>
      </c>
      <c r="B40" s="505"/>
      <c r="C40" s="180"/>
      <c r="D40" s="89" t="s">
        <v>58</v>
      </c>
      <c r="E40" s="509" t="s">
        <v>129</v>
      </c>
      <c r="F40" s="510"/>
      <c r="G40" s="160" t="e">
        <f>C42/C40*100</f>
        <v>#DIV/0!</v>
      </c>
      <c r="H40" s="158" t="s">
        <v>9</v>
      </c>
      <c r="I40" s="18"/>
      <c r="K40" s="29"/>
      <c r="L40" s="25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</row>
    <row r="41" spans="1:42" s="18" customFormat="1" ht="18" customHeight="1" x14ac:dyDescent="0.45">
      <c r="A41" s="506" t="s">
        <v>67</v>
      </c>
      <c r="B41" s="415"/>
      <c r="C41" s="181"/>
      <c r="D41" s="89" t="s">
        <v>58</v>
      </c>
      <c r="E41" s="503" t="s">
        <v>144</v>
      </c>
      <c r="F41" s="414"/>
      <c r="G41" s="94" t="e">
        <f>C41/C40</f>
        <v>#DIV/0!</v>
      </c>
      <c r="H41" s="159"/>
      <c r="K41" s="26"/>
      <c r="L41" s="26"/>
    </row>
    <row r="42" spans="1:42" s="18" customFormat="1" ht="18" customHeight="1" thickBot="1" x14ac:dyDescent="0.5">
      <c r="A42" s="507" t="s">
        <v>128</v>
      </c>
      <c r="B42" s="508"/>
      <c r="C42" s="54"/>
      <c r="D42" s="84" t="s">
        <v>58</v>
      </c>
      <c r="E42" s="511" t="s">
        <v>145</v>
      </c>
      <c r="F42" s="512"/>
      <c r="G42" s="95" t="e">
        <f>G41*G30</f>
        <v>#DIV/0!</v>
      </c>
      <c r="H42" s="157"/>
      <c r="K42" s="26"/>
      <c r="L42" s="26"/>
    </row>
    <row r="43" spans="1:42" s="21" customFormat="1" ht="18" customHeight="1" thickBot="1" x14ac:dyDescent="0.4">
      <c r="A43" s="18"/>
      <c r="B43" s="18"/>
      <c r="C43" s="18"/>
      <c r="D43" s="18"/>
      <c r="E43" s="18"/>
      <c r="F43" s="18"/>
      <c r="G43" s="18"/>
      <c r="H43" s="18"/>
      <c r="I43" s="18"/>
      <c r="J43" s="40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</row>
    <row r="44" spans="1:42" s="2" customFormat="1" ht="18" customHeight="1" x14ac:dyDescent="0.35">
      <c r="A44" s="356" t="s">
        <v>85</v>
      </c>
      <c r="B44" s="357"/>
      <c r="C44" s="357"/>
      <c r="D44" s="357"/>
      <c r="E44" s="357"/>
      <c r="F44" s="357"/>
      <c r="G44" s="357"/>
      <c r="H44" s="358"/>
      <c r="J44" s="40"/>
    </row>
    <row r="45" spans="1:42" s="18" customFormat="1" ht="18" customHeight="1" thickBot="1" x14ac:dyDescent="0.4">
      <c r="A45" s="359" t="s">
        <v>36</v>
      </c>
      <c r="B45" s="360"/>
      <c r="C45" s="360"/>
      <c r="D45" s="360"/>
      <c r="E45" s="360"/>
      <c r="F45" s="360"/>
      <c r="G45" s="262"/>
      <c r="H45" s="65" t="s">
        <v>56</v>
      </c>
      <c r="J45" s="40"/>
    </row>
    <row r="46" spans="1:42" s="21" customFormat="1" ht="18" customHeight="1" thickBot="1" x14ac:dyDescent="0.4">
      <c r="A46" s="18"/>
      <c r="B46" s="18"/>
      <c r="C46" s="18"/>
      <c r="D46" s="18"/>
      <c r="E46" s="18"/>
      <c r="F46" s="18"/>
      <c r="G46" s="18"/>
      <c r="H46" s="18"/>
      <c r="I46" s="18"/>
      <c r="J46" s="40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</row>
    <row r="47" spans="1:42" s="8" customFormat="1" ht="18" customHeight="1" x14ac:dyDescent="0.35">
      <c r="A47" s="356" t="s">
        <v>86</v>
      </c>
      <c r="B47" s="357"/>
      <c r="C47" s="357"/>
      <c r="D47" s="357"/>
      <c r="E47" s="357"/>
      <c r="F47" s="357"/>
      <c r="G47" s="357"/>
      <c r="H47" s="358"/>
      <c r="I47" s="7"/>
      <c r="J47" s="40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s="261" customFormat="1" ht="18" customHeight="1" x14ac:dyDescent="0.35">
      <c r="A48" s="391" t="s">
        <v>238</v>
      </c>
      <c r="B48" s="392"/>
      <c r="C48" s="392"/>
      <c r="D48" s="392"/>
      <c r="E48" s="392"/>
      <c r="F48" s="392"/>
      <c r="G48" s="392"/>
      <c r="H48" s="393"/>
      <c r="I48" s="260"/>
      <c r="J48" s="115"/>
      <c r="K48" s="260"/>
      <c r="L48" s="260"/>
      <c r="M48" s="260"/>
      <c r="N48" s="260"/>
      <c r="O48" s="260"/>
      <c r="P48" s="260"/>
      <c r="Q48" s="260"/>
      <c r="R48" s="260"/>
      <c r="S48" s="260"/>
      <c r="T48" s="260"/>
      <c r="U48" s="260"/>
      <c r="V48" s="260"/>
      <c r="W48" s="260"/>
      <c r="X48" s="260"/>
      <c r="Y48" s="260"/>
      <c r="Z48" s="260"/>
      <c r="AA48" s="260"/>
      <c r="AB48" s="260"/>
      <c r="AC48" s="260"/>
      <c r="AD48" s="260"/>
      <c r="AE48" s="260"/>
      <c r="AF48" s="260"/>
      <c r="AG48" s="260"/>
      <c r="AH48" s="260"/>
      <c r="AI48" s="260"/>
      <c r="AJ48" s="260"/>
      <c r="AK48" s="260"/>
      <c r="AL48" s="260"/>
      <c r="AM48" s="260"/>
      <c r="AN48" s="260"/>
      <c r="AO48" s="260"/>
      <c r="AP48" s="260"/>
    </row>
    <row r="49" spans="1:42" s="35" customFormat="1" ht="18" customHeight="1" thickBot="1" x14ac:dyDescent="0.4">
      <c r="A49" s="206" t="s">
        <v>197</v>
      </c>
      <c r="B49" s="207"/>
      <c r="C49" s="207"/>
      <c r="D49" s="207"/>
      <c r="E49" s="207"/>
      <c r="F49" s="207"/>
      <c r="G49" s="203"/>
      <c r="H49" s="238" t="s">
        <v>9</v>
      </c>
      <c r="I49" s="33"/>
      <c r="J49" s="41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</row>
    <row r="50" spans="1:42" s="21" customFormat="1" ht="18" customHeight="1" thickBot="1" x14ac:dyDescent="0.4">
      <c r="A50" s="18"/>
      <c r="B50" s="18"/>
      <c r="C50" s="18"/>
      <c r="D50" s="18"/>
      <c r="E50" s="18"/>
      <c r="F50" s="18"/>
      <c r="G50" s="18"/>
      <c r="H50" s="18"/>
      <c r="I50" s="18"/>
      <c r="J50" s="40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</row>
    <row r="51" spans="1:42" s="9" customFormat="1" ht="18" customHeight="1" x14ac:dyDescent="0.25">
      <c r="A51" s="356" t="s">
        <v>164</v>
      </c>
      <c r="B51" s="357"/>
      <c r="C51" s="357"/>
      <c r="D51" s="357"/>
      <c r="E51" s="357"/>
      <c r="F51" s="357"/>
      <c r="G51" s="357"/>
      <c r="H51" s="358"/>
      <c r="J51" s="42"/>
      <c r="K51" s="556"/>
      <c r="L51" s="556"/>
      <c r="M51" s="556"/>
      <c r="N51" s="556"/>
    </row>
    <row r="52" spans="1:42" s="33" customFormat="1" ht="18" customHeight="1" x14ac:dyDescent="0.35">
      <c r="A52" s="560" t="s">
        <v>135</v>
      </c>
      <c r="B52" s="561"/>
      <c r="C52" s="561"/>
      <c r="D52" s="561"/>
      <c r="E52" s="561"/>
      <c r="F52" s="561"/>
      <c r="G52" s="561"/>
      <c r="H52" s="562"/>
      <c r="J52" s="41"/>
    </row>
    <row r="53" spans="1:42" s="10" customFormat="1" ht="50.15" customHeight="1" x14ac:dyDescent="0.25">
      <c r="A53" s="519"/>
      <c r="B53" s="520"/>
      <c r="C53" s="520"/>
      <c r="D53" s="520"/>
      <c r="E53" s="563"/>
      <c r="F53" s="563"/>
      <c r="G53" s="563"/>
      <c r="H53" s="564"/>
      <c r="I53" s="9"/>
      <c r="J53" s="42"/>
      <c r="K53" s="13"/>
      <c r="L53" s="11"/>
      <c r="M53" s="13"/>
      <c r="N53" s="11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</row>
    <row r="54" spans="1:42" s="329" customFormat="1" ht="18" customHeight="1" x14ac:dyDescent="0.35">
      <c r="A54" s="467" t="s">
        <v>167</v>
      </c>
      <c r="B54" s="468"/>
      <c r="C54" s="469" t="s">
        <v>180</v>
      </c>
      <c r="D54" s="470"/>
      <c r="E54" s="576" t="s">
        <v>168</v>
      </c>
      <c r="F54" s="468"/>
      <c r="G54" s="469" t="s">
        <v>180</v>
      </c>
      <c r="H54" s="471"/>
      <c r="I54" s="14"/>
      <c r="J54" s="42"/>
      <c r="K54" s="13"/>
      <c r="L54" s="11"/>
      <c r="M54" s="13"/>
      <c r="N54" s="11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</row>
    <row r="55" spans="1:42" s="14" customFormat="1" ht="18" customHeight="1" thickBot="1" x14ac:dyDescent="0.4">
      <c r="A55" s="463" t="s">
        <v>165</v>
      </c>
      <c r="B55" s="464"/>
      <c r="C55" s="333"/>
      <c r="D55" s="334" t="s">
        <v>181</v>
      </c>
      <c r="E55" s="577" t="s">
        <v>169</v>
      </c>
      <c r="F55" s="464"/>
      <c r="G55" s="333"/>
      <c r="H55" s="330" t="s">
        <v>181</v>
      </c>
      <c r="J55" s="42"/>
      <c r="K55" s="13"/>
      <c r="L55" s="11"/>
      <c r="M55" s="13"/>
      <c r="N55" s="11"/>
    </row>
    <row r="56" spans="1:42" s="235" customFormat="1" ht="18" customHeight="1" thickBot="1" x14ac:dyDescent="0.4">
      <c r="A56" s="205"/>
      <c r="B56" s="205"/>
      <c r="C56" s="250"/>
      <c r="D56" s="205"/>
      <c r="E56" s="205"/>
      <c r="F56" s="205"/>
      <c r="G56" s="250"/>
      <c r="H56" s="205"/>
      <c r="J56" s="43"/>
      <c r="K56" s="236"/>
      <c r="L56" s="237"/>
      <c r="M56" s="236"/>
      <c r="N56" s="237"/>
    </row>
    <row r="57" spans="1:42" s="10" customFormat="1" ht="18" customHeight="1" x14ac:dyDescent="0.25">
      <c r="A57" s="356" t="s">
        <v>87</v>
      </c>
      <c r="B57" s="357"/>
      <c r="C57" s="357"/>
      <c r="D57" s="357"/>
      <c r="E57" s="357"/>
      <c r="F57" s="357"/>
      <c r="G57" s="357"/>
      <c r="H57" s="358"/>
      <c r="K57" s="13"/>
      <c r="L57" s="11"/>
      <c r="M57" s="13"/>
      <c r="N57" s="11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</row>
    <row r="58" spans="1:42" s="14" customFormat="1" ht="18" customHeight="1" x14ac:dyDescent="0.35">
      <c r="A58" s="391" t="s">
        <v>174</v>
      </c>
      <c r="B58" s="392"/>
      <c r="C58" s="392"/>
      <c r="D58" s="392"/>
      <c r="E58" s="392"/>
      <c r="F58" s="392"/>
      <c r="G58" s="392"/>
      <c r="H58" s="393"/>
      <c r="J58" s="42"/>
      <c r="K58" s="13"/>
      <c r="L58" s="11"/>
      <c r="M58" s="13"/>
      <c r="N58" s="11"/>
    </row>
    <row r="59" spans="1:42" s="235" customFormat="1" ht="18" customHeight="1" thickBot="1" x14ac:dyDescent="0.4">
      <c r="A59" s="204"/>
      <c r="B59" s="205"/>
      <c r="C59" s="205"/>
      <c r="D59" s="205"/>
      <c r="E59" s="205"/>
      <c r="F59" s="205"/>
      <c r="G59" s="205"/>
      <c r="H59" s="243"/>
      <c r="I59" s="244"/>
      <c r="J59" s="43"/>
      <c r="K59" s="236"/>
      <c r="L59" s="237"/>
      <c r="M59" s="236"/>
      <c r="N59" s="237"/>
    </row>
    <row r="60" spans="1:42" s="235" customFormat="1" ht="18" customHeight="1" x14ac:dyDescent="0.35">
      <c r="A60" s="394" t="s">
        <v>175</v>
      </c>
      <c r="B60" s="395"/>
      <c r="C60" s="395"/>
      <c r="D60" s="395"/>
      <c r="E60" s="395"/>
      <c r="F60" s="395"/>
      <c r="G60" s="395"/>
      <c r="H60" s="396"/>
      <c r="J60" s="43"/>
      <c r="K60" s="236"/>
      <c r="L60" s="237"/>
      <c r="M60" s="236"/>
      <c r="N60" s="237"/>
    </row>
    <row r="61" spans="1:42" s="20" customFormat="1" ht="18" customHeight="1" x14ac:dyDescent="0.35">
      <c r="A61" s="517" t="s">
        <v>176</v>
      </c>
      <c r="B61" s="518"/>
      <c r="C61" s="493"/>
      <c r="D61" s="493"/>
      <c r="E61" s="493"/>
      <c r="F61" s="493"/>
      <c r="G61" s="493"/>
      <c r="H61" s="516"/>
      <c r="J61" s="115"/>
    </row>
    <row r="62" spans="1:42" s="33" customFormat="1" ht="18" customHeight="1" x14ac:dyDescent="0.35">
      <c r="A62" s="546" t="s">
        <v>135</v>
      </c>
      <c r="B62" s="547"/>
      <c r="C62" s="547"/>
      <c r="D62" s="547"/>
      <c r="E62" s="547"/>
      <c r="F62" s="547"/>
      <c r="G62" s="547"/>
      <c r="H62" s="548"/>
      <c r="J62" s="41"/>
    </row>
    <row r="63" spans="1:42" s="18" customFormat="1" ht="30" customHeight="1" x14ac:dyDescent="0.35">
      <c r="A63" s="519"/>
      <c r="B63" s="520"/>
      <c r="C63" s="520"/>
      <c r="D63" s="520"/>
      <c r="E63" s="520"/>
      <c r="F63" s="520"/>
      <c r="G63" s="520"/>
      <c r="H63" s="521"/>
      <c r="J63" s="40"/>
    </row>
    <row r="64" spans="1:42" s="18" customFormat="1" ht="18" customHeight="1" x14ac:dyDescent="0.35">
      <c r="A64" s="466" t="s">
        <v>19</v>
      </c>
      <c r="B64" s="422"/>
      <c r="C64" s="228"/>
      <c r="D64" s="240" t="s">
        <v>20</v>
      </c>
      <c r="E64" s="465" t="s">
        <v>21</v>
      </c>
      <c r="F64" s="422"/>
      <c r="G64" s="228"/>
      <c r="H64" s="31" t="s">
        <v>20</v>
      </c>
      <c r="J64" s="40"/>
    </row>
    <row r="65" spans="1:42" s="18" customFormat="1" ht="18" customHeight="1" x14ac:dyDescent="0.35">
      <c r="A65" s="466" t="s">
        <v>173</v>
      </c>
      <c r="B65" s="422"/>
      <c r="C65" s="228"/>
      <c r="D65" s="197" t="s">
        <v>8</v>
      </c>
      <c r="E65" s="465"/>
      <c r="F65" s="422"/>
      <c r="G65" s="242"/>
      <c r="H65" s="31"/>
      <c r="J65" s="40"/>
    </row>
    <row r="66" spans="1:42" s="35" customFormat="1" ht="18" customHeight="1" x14ac:dyDescent="0.35">
      <c r="A66" s="514" t="s">
        <v>37</v>
      </c>
      <c r="B66" s="515"/>
      <c r="C66" s="515"/>
      <c r="D66" s="515"/>
      <c r="E66" s="557" t="s">
        <v>22</v>
      </c>
      <c r="F66" s="557"/>
      <c r="G66" s="500" t="s">
        <v>23</v>
      </c>
      <c r="H66" s="501"/>
      <c r="I66" s="33"/>
      <c r="J66" s="43"/>
      <c r="K66" s="34"/>
      <c r="L66" s="27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</row>
    <row r="67" spans="1:42" s="21" customFormat="1" ht="18" customHeight="1" x14ac:dyDescent="0.35">
      <c r="A67" s="502" t="s">
        <v>40</v>
      </c>
      <c r="B67" s="503"/>
      <c r="C67" s="503"/>
      <c r="D67" s="503"/>
      <c r="E67" s="57"/>
      <c r="F67" s="194" t="s">
        <v>59</v>
      </c>
      <c r="G67" s="59"/>
      <c r="H67" s="62" t="s">
        <v>9</v>
      </c>
      <c r="I67" s="18"/>
      <c r="J67" s="42"/>
      <c r="K67" s="29"/>
      <c r="L67" s="25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</row>
    <row r="68" spans="1:42" s="21" customFormat="1" ht="18" customHeight="1" x14ac:dyDescent="0.35">
      <c r="A68" s="502" t="s">
        <v>41</v>
      </c>
      <c r="B68" s="503"/>
      <c r="C68" s="503"/>
      <c r="D68" s="503"/>
      <c r="E68" s="57"/>
      <c r="F68" s="194" t="s">
        <v>59</v>
      </c>
      <c r="G68" s="60"/>
      <c r="H68" s="63" t="s">
        <v>9</v>
      </c>
      <c r="I68" s="18"/>
      <c r="J68" s="42"/>
      <c r="K68" s="29"/>
      <c r="L68" s="25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</row>
    <row r="69" spans="1:42" s="21" customFormat="1" ht="18" customHeight="1" thickBot="1" x14ac:dyDescent="0.4">
      <c r="A69" s="507" t="s">
        <v>42</v>
      </c>
      <c r="B69" s="508"/>
      <c r="C69" s="508"/>
      <c r="D69" s="513"/>
      <c r="E69" s="58"/>
      <c r="F69" s="196" t="s">
        <v>59</v>
      </c>
      <c r="G69" s="247"/>
      <c r="H69" s="248" t="s">
        <v>9</v>
      </c>
      <c r="I69" s="18"/>
      <c r="J69" s="42"/>
      <c r="K69" s="29"/>
      <c r="L69" s="25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</row>
    <row r="70" spans="1:42" s="18" customFormat="1" ht="18" hidden="1" customHeight="1" thickBot="1" x14ac:dyDescent="0.4">
      <c r="A70" s="192"/>
      <c r="B70" s="193"/>
      <c r="C70" s="193"/>
      <c r="D70" s="193"/>
      <c r="E70" s="245"/>
      <c r="F70" s="241"/>
      <c r="G70" s="246"/>
      <c r="H70" s="249"/>
      <c r="J70" s="42"/>
      <c r="K70" s="29"/>
      <c r="L70" s="25"/>
    </row>
    <row r="71" spans="1:42" s="18" customFormat="1" ht="18" hidden="1" customHeight="1" x14ac:dyDescent="0.35">
      <c r="A71" s="394" t="s">
        <v>177</v>
      </c>
      <c r="B71" s="395"/>
      <c r="C71" s="395"/>
      <c r="D71" s="395"/>
      <c r="E71" s="395"/>
      <c r="F71" s="395"/>
      <c r="G71" s="395"/>
      <c r="H71" s="396"/>
      <c r="J71" s="42"/>
      <c r="K71" s="29"/>
      <c r="L71" s="25"/>
    </row>
    <row r="72" spans="1:42" s="113" customFormat="1" ht="18" hidden="1" customHeight="1" x14ac:dyDescent="0.35">
      <c r="A72" s="517" t="s">
        <v>176</v>
      </c>
      <c r="B72" s="518"/>
      <c r="C72" s="493"/>
      <c r="D72" s="493"/>
      <c r="E72" s="493"/>
      <c r="F72" s="493"/>
      <c r="G72" s="493"/>
      <c r="H72" s="516"/>
      <c r="I72" s="20"/>
      <c r="J72" s="115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</row>
    <row r="73" spans="1:42" s="38" customFormat="1" ht="18" hidden="1" customHeight="1" x14ac:dyDescent="0.35">
      <c r="A73" s="406" t="s">
        <v>135</v>
      </c>
      <c r="B73" s="407"/>
      <c r="C73" s="407"/>
      <c r="D73" s="407"/>
      <c r="E73" s="407"/>
      <c r="F73" s="407"/>
      <c r="G73" s="407"/>
      <c r="H73" s="568"/>
      <c r="J73" s="41"/>
    </row>
    <row r="74" spans="1:42" s="2" customFormat="1" ht="30" hidden="1" customHeight="1" x14ac:dyDescent="0.35">
      <c r="A74" s="199"/>
      <c r="B74" s="200"/>
      <c r="C74" s="200"/>
      <c r="D74" s="200"/>
      <c r="E74" s="200"/>
      <c r="F74" s="200"/>
      <c r="G74" s="200"/>
      <c r="H74" s="201"/>
      <c r="J74" s="40"/>
    </row>
    <row r="75" spans="1:42" s="2" customFormat="1" ht="18" hidden="1" customHeight="1" x14ac:dyDescent="0.35">
      <c r="A75" s="466" t="s">
        <v>19</v>
      </c>
      <c r="B75" s="422"/>
      <c r="C75" s="228"/>
      <c r="D75" s="240" t="s">
        <v>20</v>
      </c>
      <c r="E75" s="465" t="s">
        <v>21</v>
      </c>
      <c r="F75" s="422"/>
      <c r="G75" s="228"/>
      <c r="H75" s="31" t="s">
        <v>20</v>
      </c>
      <c r="J75" s="40"/>
    </row>
    <row r="76" spans="1:42" s="2" customFormat="1" ht="18" hidden="1" customHeight="1" x14ac:dyDescent="0.35">
      <c r="A76" s="466" t="s">
        <v>173</v>
      </c>
      <c r="B76" s="422"/>
      <c r="C76" s="228"/>
      <c r="D76" s="197" t="s">
        <v>8</v>
      </c>
      <c r="E76" s="465"/>
      <c r="F76" s="422"/>
      <c r="G76" s="242"/>
      <c r="H76" s="31"/>
      <c r="J76" s="40"/>
    </row>
    <row r="77" spans="1:42" s="2" customFormat="1" ht="18" hidden="1" customHeight="1" x14ac:dyDescent="0.35">
      <c r="A77" s="514" t="s">
        <v>37</v>
      </c>
      <c r="B77" s="515"/>
      <c r="C77" s="515"/>
      <c r="D77" s="515"/>
      <c r="E77" s="557" t="s">
        <v>22</v>
      </c>
      <c r="F77" s="557"/>
      <c r="G77" s="500" t="s">
        <v>23</v>
      </c>
      <c r="H77" s="501"/>
      <c r="J77" s="40"/>
    </row>
    <row r="78" spans="1:42" s="2" customFormat="1" ht="18" hidden="1" customHeight="1" x14ac:dyDescent="0.35">
      <c r="A78" s="502" t="s">
        <v>40</v>
      </c>
      <c r="B78" s="503"/>
      <c r="C78" s="503"/>
      <c r="D78" s="503"/>
      <c r="E78" s="57"/>
      <c r="F78" s="194" t="s">
        <v>59</v>
      </c>
      <c r="G78" s="59"/>
      <c r="H78" s="62" t="s">
        <v>9</v>
      </c>
      <c r="J78" s="40"/>
    </row>
    <row r="79" spans="1:42" s="2" customFormat="1" ht="18" hidden="1" customHeight="1" x14ac:dyDescent="0.35">
      <c r="A79" s="502" t="s">
        <v>41</v>
      </c>
      <c r="B79" s="503"/>
      <c r="C79" s="503"/>
      <c r="D79" s="503"/>
      <c r="E79" s="57"/>
      <c r="F79" s="194" t="s">
        <v>59</v>
      </c>
      <c r="G79" s="60"/>
      <c r="H79" s="63" t="s">
        <v>9</v>
      </c>
      <c r="J79" s="40"/>
    </row>
    <row r="80" spans="1:42" s="2" customFormat="1" ht="18" hidden="1" customHeight="1" thickBot="1" x14ac:dyDescent="0.4">
      <c r="A80" s="359" t="s">
        <v>42</v>
      </c>
      <c r="B80" s="360"/>
      <c r="C80" s="360"/>
      <c r="D80" s="544"/>
      <c r="E80" s="58"/>
      <c r="F80" s="195" t="s">
        <v>59</v>
      </c>
      <c r="G80" s="61"/>
      <c r="H80" s="64" t="s">
        <v>9</v>
      </c>
      <c r="J80" s="40"/>
    </row>
    <row r="81" spans="1:12" s="2" customFormat="1" ht="18" hidden="1" customHeight="1" thickBot="1" x14ac:dyDescent="0.4">
      <c r="A81" s="193"/>
      <c r="B81" s="193"/>
      <c r="C81" s="193"/>
      <c r="D81" s="193"/>
      <c r="E81" s="245"/>
      <c r="F81" s="241"/>
      <c r="G81" s="246"/>
      <c r="H81" s="241"/>
      <c r="J81" s="40"/>
    </row>
    <row r="82" spans="1:12" s="2" customFormat="1" ht="18" hidden="1" customHeight="1" x14ac:dyDescent="0.35">
      <c r="A82" s="394" t="s">
        <v>178</v>
      </c>
      <c r="B82" s="395"/>
      <c r="C82" s="395"/>
      <c r="D82" s="395"/>
      <c r="E82" s="395"/>
      <c r="F82" s="395"/>
      <c r="G82" s="395"/>
      <c r="H82" s="396"/>
      <c r="J82" s="40"/>
    </row>
    <row r="83" spans="1:12" s="212" customFormat="1" ht="18" hidden="1" customHeight="1" x14ac:dyDescent="0.35">
      <c r="A83" s="517" t="s">
        <v>176</v>
      </c>
      <c r="B83" s="518"/>
      <c r="C83" s="493"/>
      <c r="D83" s="493"/>
      <c r="E83" s="493"/>
      <c r="F83" s="493"/>
      <c r="G83" s="493"/>
      <c r="H83" s="516"/>
      <c r="J83" s="115"/>
    </row>
    <row r="84" spans="1:12" s="38" customFormat="1" ht="18" hidden="1" customHeight="1" x14ac:dyDescent="0.35">
      <c r="A84" s="546" t="s">
        <v>135</v>
      </c>
      <c r="B84" s="547"/>
      <c r="C84" s="547"/>
      <c r="D84" s="547"/>
      <c r="E84" s="547"/>
      <c r="F84" s="547"/>
      <c r="G84" s="547"/>
      <c r="H84" s="548"/>
      <c r="J84" s="41"/>
    </row>
    <row r="85" spans="1:12" s="2" customFormat="1" ht="32.15" hidden="1" customHeight="1" x14ac:dyDescent="0.35">
      <c r="A85" s="519"/>
      <c r="B85" s="520"/>
      <c r="C85" s="520"/>
      <c r="D85" s="520"/>
      <c r="E85" s="520"/>
      <c r="F85" s="520"/>
      <c r="G85" s="520"/>
      <c r="H85" s="521"/>
      <c r="J85" s="40"/>
    </row>
    <row r="86" spans="1:12" s="2" customFormat="1" ht="18" hidden="1" customHeight="1" x14ac:dyDescent="0.35">
      <c r="A86" s="466" t="s">
        <v>19</v>
      </c>
      <c r="B86" s="422"/>
      <c r="C86" s="228"/>
      <c r="D86" s="240" t="s">
        <v>20</v>
      </c>
      <c r="E86" s="465" t="s">
        <v>21</v>
      </c>
      <c r="F86" s="422"/>
      <c r="G86" s="228"/>
      <c r="H86" s="31" t="s">
        <v>20</v>
      </c>
      <c r="J86" s="40"/>
    </row>
    <row r="87" spans="1:12" s="2" customFormat="1" ht="18" hidden="1" customHeight="1" x14ac:dyDescent="0.35">
      <c r="A87" s="466" t="s">
        <v>173</v>
      </c>
      <c r="B87" s="422"/>
      <c r="C87" s="228"/>
      <c r="D87" s="197" t="s">
        <v>8</v>
      </c>
      <c r="E87" s="465"/>
      <c r="F87" s="422"/>
      <c r="G87" s="242"/>
      <c r="H87" s="31"/>
      <c r="J87" s="18"/>
      <c r="L87" s="40"/>
    </row>
    <row r="88" spans="1:12" s="38" customFormat="1" ht="18" hidden="1" customHeight="1" x14ac:dyDescent="0.35">
      <c r="A88" s="514" t="s">
        <v>37</v>
      </c>
      <c r="B88" s="515"/>
      <c r="C88" s="515"/>
      <c r="D88" s="515"/>
      <c r="E88" s="557" t="s">
        <v>22</v>
      </c>
      <c r="F88" s="557"/>
      <c r="G88" s="500" t="s">
        <v>23</v>
      </c>
      <c r="H88" s="501"/>
      <c r="J88" s="41"/>
    </row>
    <row r="89" spans="1:12" s="38" customFormat="1" ht="18" hidden="1" customHeight="1" x14ac:dyDescent="0.35">
      <c r="A89" s="502" t="s">
        <v>40</v>
      </c>
      <c r="B89" s="503"/>
      <c r="C89" s="503"/>
      <c r="D89" s="503"/>
      <c r="E89" s="57"/>
      <c r="F89" s="194" t="s">
        <v>59</v>
      </c>
      <c r="G89" s="59"/>
      <c r="H89" s="62" t="s">
        <v>9</v>
      </c>
      <c r="J89" s="41"/>
    </row>
    <row r="90" spans="1:12" s="38" customFormat="1" ht="18" hidden="1" customHeight="1" x14ac:dyDescent="0.35">
      <c r="A90" s="502" t="s">
        <v>41</v>
      </c>
      <c r="B90" s="503"/>
      <c r="C90" s="503"/>
      <c r="D90" s="503"/>
      <c r="E90" s="57"/>
      <c r="F90" s="194" t="s">
        <v>59</v>
      </c>
      <c r="G90" s="60"/>
      <c r="H90" s="63" t="s">
        <v>9</v>
      </c>
      <c r="J90" s="41"/>
    </row>
    <row r="91" spans="1:12" s="38" customFormat="1" ht="18" hidden="1" customHeight="1" thickBot="1" x14ac:dyDescent="0.4">
      <c r="A91" s="359" t="s">
        <v>42</v>
      </c>
      <c r="B91" s="360"/>
      <c r="C91" s="360"/>
      <c r="D91" s="544"/>
      <c r="E91" s="58"/>
      <c r="F91" s="195" t="s">
        <v>59</v>
      </c>
      <c r="G91" s="61"/>
      <c r="H91" s="64" t="s">
        <v>9</v>
      </c>
      <c r="J91" s="41"/>
    </row>
    <row r="92" spans="1:12" s="38" customFormat="1" ht="18" customHeight="1" thickBot="1" x14ac:dyDescent="0.4">
      <c r="A92" s="193"/>
      <c r="B92" s="193"/>
      <c r="C92" s="193"/>
      <c r="D92" s="193"/>
      <c r="E92" s="245"/>
      <c r="F92" s="241"/>
      <c r="G92" s="246"/>
      <c r="H92" s="241"/>
      <c r="J92" s="41"/>
    </row>
    <row r="93" spans="1:12" s="38" customFormat="1" ht="18" customHeight="1" x14ac:dyDescent="0.35">
      <c r="A93" s="356" t="s">
        <v>88</v>
      </c>
      <c r="B93" s="357"/>
      <c r="C93" s="357"/>
      <c r="D93" s="357"/>
      <c r="E93" s="357"/>
      <c r="F93" s="357"/>
      <c r="G93" s="357"/>
      <c r="H93" s="358"/>
      <c r="J93" s="41"/>
    </row>
    <row r="94" spans="1:12" s="38" customFormat="1" ht="18" customHeight="1" thickBot="1" x14ac:dyDescent="0.4">
      <c r="A94" s="71" t="s">
        <v>105</v>
      </c>
      <c r="B94" s="565" t="s">
        <v>98</v>
      </c>
      <c r="C94" s="566"/>
      <c r="D94" s="567"/>
      <c r="E94" s="558" t="s">
        <v>91</v>
      </c>
      <c r="F94" s="559"/>
      <c r="G94" s="558" t="s">
        <v>31</v>
      </c>
      <c r="H94" s="569"/>
      <c r="J94" s="41"/>
    </row>
    <row r="95" spans="1:12" s="38" customFormat="1" ht="18" hidden="1" customHeight="1" x14ac:dyDescent="0.35">
      <c r="A95" s="73" t="s">
        <v>92</v>
      </c>
      <c r="B95" s="343" t="s">
        <v>93</v>
      </c>
      <c r="C95" s="344"/>
      <c r="D95" s="345"/>
      <c r="E95" s="53"/>
      <c r="F95" s="185" t="s">
        <v>8</v>
      </c>
      <c r="G95" s="53">
        <v>20</v>
      </c>
      <c r="H95" s="66" t="s">
        <v>8</v>
      </c>
      <c r="J95" s="41"/>
    </row>
    <row r="96" spans="1:12" s="38" customFormat="1" ht="18" hidden="1" customHeight="1" x14ac:dyDescent="0.35">
      <c r="A96" s="73" t="s">
        <v>92</v>
      </c>
      <c r="B96" s="346" t="s">
        <v>94</v>
      </c>
      <c r="C96" s="347"/>
      <c r="D96" s="348"/>
      <c r="E96" s="53"/>
      <c r="F96" s="185" t="s">
        <v>8</v>
      </c>
      <c r="G96" s="53">
        <v>20</v>
      </c>
      <c r="H96" s="66" t="s">
        <v>8</v>
      </c>
      <c r="J96" s="41"/>
    </row>
    <row r="97" spans="1:42" s="38" customFormat="1" ht="18" hidden="1" customHeight="1" x14ac:dyDescent="0.35">
      <c r="A97" s="73" t="s">
        <v>92</v>
      </c>
      <c r="B97" s="346" t="s">
        <v>95</v>
      </c>
      <c r="C97" s="347"/>
      <c r="D97" s="348"/>
      <c r="E97" s="53"/>
      <c r="F97" s="185" t="s">
        <v>8</v>
      </c>
      <c r="G97" s="53">
        <v>17</v>
      </c>
      <c r="H97" s="66" t="s">
        <v>8</v>
      </c>
      <c r="J97" s="41"/>
    </row>
    <row r="98" spans="1:42" s="38" customFormat="1" ht="18" hidden="1" customHeight="1" x14ac:dyDescent="0.35">
      <c r="A98" s="73" t="s">
        <v>92</v>
      </c>
      <c r="B98" s="346" t="s">
        <v>96</v>
      </c>
      <c r="C98" s="347"/>
      <c r="D98" s="348"/>
      <c r="E98" s="53"/>
      <c r="F98" s="185" t="s">
        <v>8</v>
      </c>
      <c r="G98" s="53">
        <v>20</v>
      </c>
      <c r="H98" s="66" t="s">
        <v>8</v>
      </c>
      <c r="J98" s="41"/>
    </row>
    <row r="99" spans="1:42" s="38" customFormat="1" ht="18" hidden="1" customHeight="1" thickBot="1" x14ac:dyDescent="0.4">
      <c r="A99" s="74" t="s">
        <v>92</v>
      </c>
      <c r="B99" s="551" t="s">
        <v>97</v>
      </c>
      <c r="C99" s="552"/>
      <c r="D99" s="553"/>
      <c r="E99" s="75"/>
      <c r="F99" s="198" t="s">
        <v>8</v>
      </c>
      <c r="G99" s="75">
        <v>17</v>
      </c>
      <c r="H99" s="77" t="s">
        <v>8</v>
      </c>
      <c r="J99" s="41"/>
    </row>
    <row r="100" spans="1:42" s="38" customFormat="1" ht="18" hidden="1" customHeight="1" x14ac:dyDescent="0.35">
      <c r="A100" s="155" t="s">
        <v>99</v>
      </c>
      <c r="B100" s="527" t="s">
        <v>100</v>
      </c>
      <c r="C100" s="528"/>
      <c r="D100" s="529"/>
      <c r="E100" s="106"/>
      <c r="F100" s="104" t="s">
        <v>8</v>
      </c>
      <c r="G100" s="106">
        <v>20</v>
      </c>
      <c r="H100" s="105" t="s">
        <v>8</v>
      </c>
      <c r="J100" s="41"/>
    </row>
    <row r="101" spans="1:42" s="38" customFormat="1" ht="18" hidden="1" customHeight="1" thickBot="1" x14ac:dyDescent="0.4">
      <c r="A101" s="74" t="s">
        <v>99</v>
      </c>
      <c r="B101" s="530" t="s">
        <v>101</v>
      </c>
      <c r="C101" s="531"/>
      <c r="D101" s="532"/>
      <c r="E101" s="75"/>
      <c r="F101" s="76" t="s">
        <v>8</v>
      </c>
      <c r="G101" s="75">
        <v>17</v>
      </c>
      <c r="H101" s="77" t="s">
        <v>8</v>
      </c>
      <c r="J101" s="41"/>
    </row>
    <row r="102" spans="1:42" s="38" customFormat="1" ht="28" customHeight="1" x14ac:dyDescent="0.35">
      <c r="A102" s="103" t="s">
        <v>108</v>
      </c>
      <c r="B102" s="533" t="s">
        <v>102</v>
      </c>
      <c r="C102" s="534"/>
      <c r="D102" s="535"/>
      <c r="E102" s="106"/>
      <c r="F102" s="191" t="s">
        <v>8</v>
      </c>
      <c r="G102" s="106">
        <v>22</v>
      </c>
      <c r="H102" s="105" t="s">
        <v>8</v>
      </c>
      <c r="J102" s="41"/>
    </row>
    <row r="103" spans="1:42" s="38" customFormat="1" ht="28" customHeight="1" x14ac:dyDescent="0.35">
      <c r="A103" s="78" t="s">
        <v>108</v>
      </c>
      <c r="B103" s="346" t="s">
        <v>103</v>
      </c>
      <c r="C103" s="347"/>
      <c r="D103" s="348"/>
      <c r="E103" s="53"/>
      <c r="F103" s="337" t="s">
        <v>8</v>
      </c>
      <c r="G103" s="53">
        <v>22</v>
      </c>
      <c r="H103" s="66" t="s">
        <v>8</v>
      </c>
      <c r="J103" s="41"/>
    </row>
    <row r="104" spans="1:42" s="35" customFormat="1" ht="28" customHeight="1" x14ac:dyDescent="0.35">
      <c r="A104" s="78" t="s">
        <v>108</v>
      </c>
      <c r="B104" s="346" t="s">
        <v>104</v>
      </c>
      <c r="C104" s="347"/>
      <c r="D104" s="348"/>
      <c r="E104" s="53"/>
      <c r="F104" s="89" t="s">
        <v>8</v>
      </c>
      <c r="G104" s="53"/>
      <c r="H104" s="66" t="s">
        <v>8</v>
      </c>
      <c r="I104" s="33"/>
      <c r="J104" s="41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</row>
    <row r="105" spans="1:42" s="33" customFormat="1" ht="28" customHeight="1" thickBot="1" x14ac:dyDescent="0.4">
      <c r="A105" s="79" t="s">
        <v>108</v>
      </c>
      <c r="B105" s="536" t="s">
        <v>245</v>
      </c>
      <c r="C105" s="537"/>
      <c r="D105" s="538"/>
      <c r="E105" s="75"/>
      <c r="F105" s="76" t="s">
        <v>8</v>
      </c>
      <c r="G105" s="75" t="s">
        <v>125</v>
      </c>
      <c r="H105" s="77"/>
      <c r="J105" s="41"/>
    </row>
    <row r="106" spans="1:42" s="21" customFormat="1" ht="28" hidden="1" customHeight="1" x14ac:dyDescent="0.35">
      <c r="A106" s="103" t="s">
        <v>107</v>
      </c>
      <c r="B106" s="533" t="s">
        <v>109</v>
      </c>
      <c r="C106" s="534"/>
      <c r="D106" s="535"/>
      <c r="E106" s="106"/>
      <c r="F106" s="104" t="s">
        <v>8</v>
      </c>
      <c r="G106" s="106">
        <v>22</v>
      </c>
      <c r="H106" s="105" t="s">
        <v>8</v>
      </c>
      <c r="I106" s="18"/>
      <c r="J106" s="40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</row>
    <row r="107" spans="1:42" s="8" customFormat="1" ht="28" hidden="1" customHeight="1" x14ac:dyDescent="0.35">
      <c r="A107" s="78" t="s">
        <v>107</v>
      </c>
      <c r="B107" s="572" t="s">
        <v>103</v>
      </c>
      <c r="C107" s="572"/>
      <c r="D107" s="572"/>
      <c r="E107" s="53"/>
      <c r="F107" s="89" t="s">
        <v>8</v>
      </c>
      <c r="G107" s="53">
        <v>22</v>
      </c>
      <c r="H107" s="66" t="s">
        <v>8</v>
      </c>
      <c r="I107" s="7"/>
      <c r="J107" s="40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</row>
    <row r="108" spans="1:42" s="125" customFormat="1" ht="28" hidden="1" customHeight="1" x14ac:dyDescent="0.35">
      <c r="A108" s="78" t="s">
        <v>107</v>
      </c>
      <c r="B108" s="573" t="s">
        <v>110</v>
      </c>
      <c r="C108" s="573"/>
      <c r="D108" s="573"/>
      <c r="E108" s="53"/>
      <c r="F108" s="89" t="s">
        <v>8</v>
      </c>
      <c r="G108" s="53">
        <v>22</v>
      </c>
      <c r="H108" s="66" t="s">
        <v>8</v>
      </c>
      <c r="I108" s="123"/>
      <c r="J108" s="124"/>
      <c r="K108" s="123"/>
      <c r="L108" s="123"/>
      <c r="M108" s="123"/>
      <c r="N108" s="123"/>
      <c r="O108" s="123"/>
      <c r="P108" s="123"/>
      <c r="Q108" s="123"/>
      <c r="R108" s="123"/>
      <c r="S108" s="123"/>
      <c r="T108" s="12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23"/>
      <c r="AG108" s="123"/>
      <c r="AH108" s="123"/>
      <c r="AI108" s="123"/>
      <c r="AJ108" s="123"/>
      <c r="AK108" s="123"/>
      <c r="AL108" s="123"/>
      <c r="AM108" s="123"/>
      <c r="AN108" s="123"/>
      <c r="AO108" s="123"/>
      <c r="AP108" s="123"/>
    </row>
    <row r="109" spans="1:42" s="127" customFormat="1" ht="29.5" hidden="1" thickBot="1" x14ac:dyDescent="0.4">
      <c r="A109" s="80" t="s">
        <v>107</v>
      </c>
      <c r="B109" s="530" t="s">
        <v>150</v>
      </c>
      <c r="C109" s="531"/>
      <c r="D109" s="532"/>
      <c r="E109" s="75"/>
      <c r="F109" s="76" t="s">
        <v>8</v>
      </c>
      <c r="G109" s="75"/>
      <c r="H109" s="77" t="s">
        <v>8</v>
      </c>
      <c r="I109" s="126"/>
      <c r="J109" s="47"/>
      <c r="K109" s="126"/>
      <c r="L109" s="126"/>
      <c r="M109" s="126"/>
      <c r="N109" s="126"/>
      <c r="O109" s="126"/>
      <c r="P109" s="126"/>
      <c r="Q109" s="126"/>
      <c r="R109" s="126"/>
      <c r="S109" s="126"/>
      <c r="T109" s="126"/>
      <c r="U109" s="126"/>
      <c r="V109" s="126"/>
      <c r="W109" s="126"/>
      <c r="X109" s="126"/>
      <c r="Y109" s="126"/>
      <c r="Z109" s="126"/>
      <c r="AA109" s="126"/>
      <c r="AB109" s="126"/>
      <c r="AC109" s="126"/>
      <c r="AD109" s="126"/>
      <c r="AE109" s="126"/>
      <c r="AF109" s="126"/>
      <c r="AG109" s="126"/>
      <c r="AH109" s="126"/>
      <c r="AI109" s="126"/>
      <c r="AJ109" s="126"/>
      <c r="AK109" s="126"/>
      <c r="AL109" s="126"/>
      <c r="AM109" s="126"/>
      <c r="AN109" s="126"/>
      <c r="AO109" s="126"/>
      <c r="AP109" s="126"/>
    </row>
    <row r="110" spans="1:42" s="125" customFormat="1" ht="18" customHeight="1" x14ac:dyDescent="0.35">
      <c r="A110" s="156" t="s">
        <v>106</v>
      </c>
      <c r="B110" s="539" t="s">
        <v>111</v>
      </c>
      <c r="C110" s="540"/>
      <c r="D110" s="541"/>
      <c r="E110" s="106"/>
      <c r="F110" s="104" t="s">
        <v>8</v>
      </c>
      <c r="G110" s="106">
        <v>22</v>
      </c>
      <c r="H110" s="105" t="s">
        <v>8</v>
      </c>
      <c r="I110" s="123"/>
      <c r="J110" s="124"/>
      <c r="K110" s="123"/>
      <c r="L110" s="123"/>
      <c r="M110" s="123"/>
      <c r="N110" s="123"/>
      <c r="O110" s="123"/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</row>
    <row r="111" spans="1:42" s="21" customFormat="1" ht="18" customHeight="1" x14ac:dyDescent="0.35">
      <c r="A111" s="88" t="s">
        <v>106</v>
      </c>
      <c r="B111" s="503" t="s">
        <v>112</v>
      </c>
      <c r="C111" s="503"/>
      <c r="D111" s="503"/>
      <c r="E111" s="53"/>
      <c r="F111" s="89" t="s">
        <v>8</v>
      </c>
      <c r="G111" s="53">
        <v>20</v>
      </c>
      <c r="H111" s="66" t="s">
        <v>8</v>
      </c>
      <c r="I111" s="18"/>
      <c r="J111" s="40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</row>
    <row r="112" spans="1:42" s="21" customFormat="1" ht="18" customHeight="1" x14ac:dyDescent="0.35">
      <c r="A112" s="88" t="s">
        <v>106</v>
      </c>
      <c r="B112" s="503" t="s">
        <v>113</v>
      </c>
      <c r="C112" s="503"/>
      <c r="D112" s="503"/>
      <c r="E112" s="53"/>
      <c r="F112" s="89" t="s">
        <v>8</v>
      </c>
      <c r="G112" s="53">
        <v>21</v>
      </c>
      <c r="H112" s="66" t="s">
        <v>8</v>
      </c>
      <c r="I112" s="18"/>
      <c r="J112" s="40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</row>
    <row r="113" spans="1:42" s="21" customFormat="1" ht="18" customHeight="1" x14ac:dyDescent="0.35">
      <c r="A113" s="88" t="s">
        <v>106</v>
      </c>
      <c r="B113" s="503" t="s">
        <v>114</v>
      </c>
      <c r="C113" s="503"/>
      <c r="D113" s="503"/>
      <c r="E113" s="53"/>
      <c r="F113" s="89" t="s">
        <v>8</v>
      </c>
      <c r="G113" s="53">
        <v>20</v>
      </c>
      <c r="H113" s="66" t="s">
        <v>8</v>
      </c>
      <c r="I113" s="18"/>
      <c r="J113" s="40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</row>
    <row r="114" spans="1:42" s="21" customFormat="1" ht="18" customHeight="1" x14ac:dyDescent="0.35">
      <c r="A114" s="88" t="s">
        <v>106</v>
      </c>
      <c r="B114" s="503" t="s">
        <v>115</v>
      </c>
      <c r="C114" s="503"/>
      <c r="D114" s="503"/>
      <c r="E114" s="53"/>
      <c r="F114" s="89" t="s">
        <v>8</v>
      </c>
      <c r="G114" s="53">
        <v>20</v>
      </c>
      <c r="H114" s="66" t="s">
        <v>8</v>
      </c>
      <c r="I114" s="18"/>
      <c r="J114" s="40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</row>
    <row r="115" spans="1:42" s="21" customFormat="1" ht="18" customHeight="1" x14ac:dyDescent="0.35">
      <c r="A115" s="88" t="s">
        <v>106</v>
      </c>
      <c r="B115" s="503" t="s">
        <v>116</v>
      </c>
      <c r="C115" s="503"/>
      <c r="D115" s="503"/>
      <c r="E115" s="53"/>
      <c r="F115" s="89" t="s">
        <v>8</v>
      </c>
      <c r="G115" s="53">
        <v>20</v>
      </c>
      <c r="H115" s="66" t="s">
        <v>8</v>
      </c>
      <c r="I115" s="18"/>
      <c r="J115" s="40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</row>
    <row r="116" spans="1:42" s="21" customFormat="1" ht="18" customHeight="1" x14ac:dyDescent="0.35">
      <c r="A116" s="88" t="s">
        <v>106</v>
      </c>
      <c r="B116" s="503" t="s">
        <v>117</v>
      </c>
      <c r="C116" s="503"/>
      <c r="D116" s="503"/>
      <c r="E116" s="53"/>
      <c r="F116" s="89" t="s">
        <v>8</v>
      </c>
      <c r="G116" s="53">
        <v>20</v>
      </c>
      <c r="H116" s="66" t="s">
        <v>8</v>
      </c>
      <c r="I116" s="18"/>
      <c r="J116" s="40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</row>
    <row r="117" spans="1:42" s="21" customFormat="1" ht="18" customHeight="1" x14ac:dyDescent="0.35">
      <c r="A117" s="88" t="s">
        <v>106</v>
      </c>
      <c r="B117" s="503" t="s">
        <v>118</v>
      </c>
      <c r="C117" s="503"/>
      <c r="D117" s="503"/>
      <c r="E117" s="53"/>
      <c r="F117" s="89" t="s">
        <v>8</v>
      </c>
      <c r="G117" s="53">
        <v>20</v>
      </c>
      <c r="H117" s="66" t="s">
        <v>8</v>
      </c>
      <c r="I117" s="18"/>
      <c r="J117" s="40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</row>
    <row r="118" spans="1:42" s="21" customFormat="1" ht="18" customHeight="1" x14ac:dyDescent="0.35">
      <c r="A118" s="336" t="s">
        <v>106</v>
      </c>
      <c r="B118" s="414" t="s">
        <v>246</v>
      </c>
      <c r="C118" s="415"/>
      <c r="D118" s="416"/>
      <c r="E118" s="53"/>
      <c r="F118" s="337" t="s">
        <v>8</v>
      </c>
      <c r="G118" s="53">
        <v>17</v>
      </c>
      <c r="H118" s="66" t="s">
        <v>8</v>
      </c>
      <c r="I118" s="18"/>
      <c r="J118" s="40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</row>
    <row r="119" spans="1:42" s="21" customFormat="1" ht="18" customHeight="1" x14ac:dyDescent="0.35">
      <c r="A119" s="336" t="s">
        <v>106</v>
      </c>
      <c r="B119" s="414" t="s">
        <v>247</v>
      </c>
      <c r="C119" s="415"/>
      <c r="D119" s="416"/>
      <c r="E119" s="53"/>
      <c r="F119" s="337" t="s">
        <v>8</v>
      </c>
      <c r="G119" s="53">
        <v>15</v>
      </c>
      <c r="H119" s="66" t="s">
        <v>8</v>
      </c>
      <c r="I119" s="18"/>
      <c r="J119" s="40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</row>
    <row r="120" spans="1:42" s="21" customFormat="1" ht="18" customHeight="1" x14ac:dyDescent="0.35">
      <c r="A120" s="88" t="s">
        <v>106</v>
      </c>
      <c r="B120" s="503" t="s">
        <v>119</v>
      </c>
      <c r="C120" s="503"/>
      <c r="D120" s="503"/>
      <c r="E120" s="53"/>
      <c r="F120" s="89" t="s">
        <v>8</v>
      </c>
      <c r="G120" s="53">
        <v>23</v>
      </c>
      <c r="H120" s="66" t="s">
        <v>8</v>
      </c>
      <c r="I120" s="18"/>
      <c r="J120" s="40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</row>
    <row r="121" spans="1:42" s="21" customFormat="1" ht="18" customHeight="1" x14ac:dyDescent="0.35">
      <c r="A121" s="88" t="s">
        <v>106</v>
      </c>
      <c r="B121" s="503" t="s">
        <v>120</v>
      </c>
      <c r="C121" s="503"/>
      <c r="D121" s="503"/>
      <c r="E121" s="82"/>
      <c r="F121" s="89" t="s">
        <v>8</v>
      </c>
      <c r="G121" s="82" t="s">
        <v>125</v>
      </c>
      <c r="H121" s="66"/>
      <c r="I121" s="18"/>
      <c r="J121" s="40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</row>
    <row r="122" spans="1:42" s="8" customFormat="1" ht="18" customHeight="1" x14ac:dyDescent="0.35">
      <c r="A122" s="88" t="s">
        <v>106</v>
      </c>
      <c r="B122" s="503" t="s">
        <v>121</v>
      </c>
      <c r="C122" s="503"/>
      <c r="D122" s="503"/>
      <c r="E122" s="82"/>
      <c r="F122" s="89" t="s">
        <v>8</v>
      </c>
      <c r="G122" s="82" t="s">
        <v>126</v>
      </c>
      <c r="H122" s="66"/>
      <c r="I122" s="7"/>
      <c r="J122" s="40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</row>
    <row r="123" spans="1:42" s="8" customFormat="1" ht="18" customHeight="1" x14ac:dyDescent="0.35">
      <c r="A123" s="88" t="s">
        <v>106</v>
      </c>
      <c r="B123" s="503" t="s">
        <v>122</v>
      </c>
      <c r="C123" s="503"/>
      <c r="D123" s="503"/>
      <c r="E123" s="53"/>
      <c r="F123" s="89" t="s">
        <v>8</v>
      </c>
      <c r="G123" s="53">
        <v>15</v>
      </c>
      <c r="H123" s="66" t="s">
        <v>8</v>
      </c>
      <c r="I123" s="7"/>
      <c r="J123" s="40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</row>
    <row r="124" spans="1:42" s="21" customFormat="1" ht="18" customHeight="1" x14ac:dyDescent="0.35">
      <c r="A124" s="88" t="s">
        <v>106</v>
      </c>
      <c r="B124" s="503" t="s">
        <v>123</v>
      </c>
      <c r="C124" s="503"/>
      <c r="D124" s="503"/>
      <c r="E124" s="53"/>
      <c r="F124" s="89" t="s">
        <v>8</v>
      </c>
      <c r="G124" s="53">
        <v>18</v>
      </c>
      <c r="H124" s="66" t="s">
        <v>8</v>
      </c>
      <c r="I124" s="18"/>
      <c r="J124" s="40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</row>
    <row r="125" spans="1:42" s="21" customFormat="1" ht="18" customHeight="1" thickBot="1" x14ac:dyDescent="0.4">
      <c r="A125" s="81" t="s">
        <v>106</v>
      </c>
      <c r="B125" s="587" t="s">
        <v>124</v>
      </c>
      <c r="C125" s="588"/>
      <c r="D125" s="589"/>
      <c r="E125" s="83"/>
      <c r="F125" s="76" t="s">
        <v>8</v>
      </c>
      <c r="G125" s="83" t="s">
        <v>126</v>
      </c>
      <c r="H125" s="77"/>
      <c r="I125" s="18"/>
      <c r="J125" s="40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</row>
    <row r="126" spans="1:42" s="21" customFormat="1" ht="18" customHeight="1" thickBot="1" x14ac:dyDescent="0.4">
      <c r="A126" s="18"/>
      <c r="B126" s="18"/>
      <c r="C126" s="18"/>
      <c r="D126" s="18"/>
      <c r="E126" s="18"/>
      <c r="F126" s="18"/>
      <c r="G126" s="18"/>
      <c r="H126" s="18"/>
      <c r="I126" s="18"/>
      <c r="J126" s="40"/>
      <c r="K126" s="18"/>
      <c r="L126" s="18"/>
      <c r="M126" s="18" t="s">
        <v>37</v>
      </c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</row>
    <row r="127" spans="1:42" s="21" customFormat="1" ht="18" customHeight="1" x14ac:dyDescent="0.35">
      <c r="A127" s="356" t="s">
        <v>89</v>
      </c>
      <c r="B127" s="357"/>
      <c r="C127" s="357"/>
      <c r="D127" s="357"/>
      <c r="E127" s="357"/>
      <c r="F127" s="357"/>
      <c r="G127" s="357"/>
      <c r="H127" s="358"/>
      <c r="I127" s="18"/>
      <c r="J127" s="40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</row>
    <row r="128" spans="1:42" s="18" customFormat="1" ht="18" customHeight="1" x14ac:dyDescent="0.35">
      <c r="A128" s="122" t="s">
        <v>105</v>
      </c>
      <c r="B128" s="128" t="s">
        <v>98</v>
      </c>
      <c r="C128" s="403" t="s">
        <v>91</v>
      </c>
      <c r="D128" s="399"/>
      <c r="E128" s="398"/>
      <c r="F128" s="400" t="s">
        <v>31</v>
      </c>
      <c r="G128" s="401"/>
      <c r="H128" s="402"/>
      <c r="J128" s="40"/>
    </row>
    <row r="129" spans="1:42" s="18" customFormat="1" ht="14.15" customHeight="1" x14ac:dyDescent="0.35">
      <c r="A129" s="226"/>
      <c r="B129" s="323"/>
      <c r="C129" s="324" t="s">
        <v>27</v>
      </c>
      <c r="D129" s="325" t="s">
        <v>140</v>
      </c>
      <c r="E129" s="326" t="s">
        <v>141</v>
      </c>
      <c r="F129" s="324" t="s">
        <v>27</v>
      </c>
      <c r="G129" s="325" t="s">
        <v>140</v>
      </c>
      <c r="H129" s="326" t="s">
        <v>141</v>
      </c>
      <c r="J129" s="40"/>
    </row>
    <row r="130" spans="1:42" s="21" customFormat="1" ht="18" customHeight="1" thickBot="1" x14ac:dyDescent="0.4">
      <c r="A130" s="121"/>
      <c r="B130" s="134"/>
      <c r="C130" s="133" t="s">
        <v>143</v>
      </c>
      <c r="D130" s="129" t="s">
        <v>142</v>
      </c>
      <c r="E130" s="131" t="s">
        <v>143</v>
      </c>
      <c r="F130" s="133" t="s">
        <v>143</v>
      </c>
      <c r="G130" s="129" t="s">
        <v>142</v>
      </c>
      <c r="H130" s="131" t="s">
        <v>143</v>
      </c>
      <c r="I130" s="18"/>
      <c r="J130" s="42"/>
      <c r="K130" s="29"/>
      <c r="L130" s="25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</row>
    <row r="131" spans="1:42" s="18" customFormat="1" ht="18" hidden="1" customHeight="1" x14ac:dyDescent="0.35">
      <c r="A131" s="73" t="s">
        <v>92</v>
      </c>
      <c r="B131" s="99" t="s">
        <v>93</v>
      </c>
      <c r="C131" s="139"/>
      <c r="D131" s="140"/>
      <c r="E131" s="141"/>
      <c r="F131" s="139"/>
      <c r="G131" s="140"/>
      <c r="H131" s="141"/>
      <c r="J131" s="40"/>
    </row>
    <row r="132" spans="1:42" s="21" customFormat="1" ht="18" hidden="1" customHeight="1" x14ac:dyDescent="0.35">
      <c r="A132" s="73" t="s">
        <v>92</v>
      </c>
      <c r="B132" s="99" t="s">
        <v>94</v>
      </c>
      <c r="C132" s="139"/>
      <c r="D132" s="140"/>
      <c r="E132" s="141"/>
      <c r="F132" s="139"/>
      <c r="G132" s="140"/>
      <c r="H132" s="141"/>
      <c r="I132" s="18"/>
      <c r="J132" s="18"/>
      <c r="K132" s="29"/>
      <c r="L132" s="25"/>
      <c r="M132" s="29"/>
      <c r="N132" s="25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</row>
    <row r="133" spans="1:42" s="8" customFormat="1" ht="18" hidden="1" customHeight="1" x14ac:dyDescent="0.35">
      <c r="A133" s="73" t="s">
        <v>92</v>
      </c>
      <c r="B133" s="99" t="s">
        <v>95</v>
      </c>
      <c r="C133" s="139"/>
      <c r="D133" s="140"/>
      <c r="E133" s="141"/>
      <c r="F133" s="139"/>
      <c r="G133" s="140"/>
      <c r="H133" s="141"/>
      <c r="I133" s="7"/>
      <c r="J133" s="18"/>
      <c r="K133" s="12"/>
      <c r="L133" s="12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</row>
    <row r="134" spans="1:42" s="2" customFormat="1" ht="18" hidden="1" customHeight="1" x14ac:dyDescent="0.35">
      <c r="A134" s="73" t="s">
        <v>92</v>
      </c>
      <c r="B134" s="135" t="s">
        <v>96</v>
      </c>
      <c r="C134" s="139"/>
      <c r="D134" s="140"/>
      <c r="E134" s="141"/>
      <c r="F134" s="139"/>
      <c r="G134" s="140"/>
      <c r="H134" s="141"/>
      <c r="J134" s="18"/>
    </row>
    <row r="135" spans="1:42" s="35" customFormat="1" ht="18" hidden="1" customHeight="1" thickBot="1" x14ac:dyDescent="0.4">
      <c r="A135" s="74" t="s">
        <v>92</v>
      </c>
      <c r="B135" s="98" t="s">
        <v>97</v>
      </c>
      <c r="C135" s="142"/>
      <c r="D135" s="143"/>
      <c r="E135" s="144"/>
      <c r="F135" s="142"/>
      <c r="G135" s="143"/>
      <c r="H135" s="144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P135" s="33"/>
    </row>
    <row r="136" spans="1:42" s="35" customFormat="1" ht="18" hidden="1" customHeight="1" x14ac:dyDescent="0.35">
      <c r="A136" s="73" t="s">
        <v>99</v>
      </c>
      <c r="B136" s="99" t="s">
        <v>100</v>
      </c>
      <c r="C136" s="139"/>
      <c r="D136" s="140"/>
      <c r="E136" s="141"/>
      <c r="F136" s="139"/>
      <c r="G136" s="140"/>
      <c r="H136" s="141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P136" s="33"/>
    </row>
    <row r="137" spans="1:42" s="35" customFormat="1" ht="18" hidden="1" customHeight="1" thickBot="1" x14ac:dyDescent="0.4">
      <c r="A137" s="74" t="s">
        <v>99</v>
      </c>
      <c r="B137" s="100" t="s">
        <v>101</v>
      </c>
      <c r="C137" s="142"/>
      <c r="D137" s="145"/>
      <c r="E137" s="144"/>
      <c r="F137" s="142"/>
      <c r="G137" s="145"/>
      <c r="H137" s="144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P137" s="33"/>
    </row>
    <row r="138" spans="1:42" s="35" customFormat="1" ht="28" customHeight="1" x14ac:dyDescent="0.35">
      <c r="A138" s="78" t="s">
        <v>108</v>
      </c>
      <c r="B138" s="101" t="s">
        <v>102</v>
      </c>
      <c r="C138" s="139"/>
      <c r="D138" s="140"/>
      <c r="E138" s="141"/>
      <c r="F138" s="139"/>
      <c r="G138" s="140"/>
      <c r="H138" s="141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</row>
    <row r="139" spans="1:42" s="21" customFormat="1" ht="28" customHeight="1" x14ac:dyDescent="0.35">
      <c r="A139" s="78" t="s">
        <v>108</v>
      </c>
      <c r="B139" s="99" t="s">
        <v>103</v>
      </c>
      <c r="C139" s="139"/>
      <c r="D139" s="146"/>
      <c r="E139" s="141"/>
      <c r="F139" s="147"/>
      <c r="G139" s="146"/>
      <c r="H139" s="141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</row>
    <row r="140" spans="1:42" s="2" customFormat="1" ht="28" customHeight="1" thickBot="1" x14ac:dyDescent="0.4">
      <c r="A140" s="79" t="s">
        <v>108</v>
      </c>
      <c r="B140" s="136" t="s">
        <v>104</v>
      </c>
      <c r="C140" s="139"/>
      <c r="D140" s="148"/>
      <c r="E140" s="141"/>
      <c r="F140" s="149"/>
      <c r="G140" s="148"/>
      <c r="H140" s="141"/>
      <c r="J140" s="18"/>
    </row>
    <row r="141" spans="1:42" ht="28" hidden="1" customHeight="1" x14ac:dyDescent="0.35">
      <c r="A141" s="103" t="s">
        <v>107</v>
      </c>
      <c r="B141" s="101" t="s">
        <v>109</v>
      </c>
      <c r="C141" s="150"/>
      <c r="D141" s="151"/>
      <c r="E141" s="152"/>
      <c r="F141" s="153"/>
      <c r="G141" s="151"/>
      <c r="H141" s="152"/>
    </row>
    <row r="142" spans="1:42" ht="28" hidden="1" customHeight="1" x14ac:dyDescent="0.35">
      <c r="A142" s="78" t="s">
        <v>107</v>
      </c>
      <c r="B142" s="99" t="s">
        <v>103</v>
      </c>
      <c r="C142" s="147"/>
      <c r="D142" s="154"/>
      <c r="E142" s="141"/>
      <c r="F142" s="139"/>
      <c r="G142" s="154"/>
      <c r="H142" s="141"/>
    </row>
    <row r="143" spans="1:42" ht="28" hidden="1" customHeight="1" x14ac:dyDescent="0.35">
      <c r="A143" s="78" t="s">
        <v>107</v>
      </c>
      <c r="B143" s="137" t="s">
        <v>110</v>
      </c>
      <c r="C143" s="147"/>
      <c r="D143" s="140"/>
      <c r="E143" s="141"/>
      <c r="F143" s="139"/>
      <c r="G143" s="140"/>
      <c r="H143" s="141"/>
    </row>
    <row r="144" spans="1:42" ht="28" hidden="1" customHeight="1" thickBot="1" x14ac:dyDescent="0.4">
      <c r="A144" s="80" t="s">
        <v>107</v>
      </c>
      <c r="B144" s="100" t="s">
        <v>150</v>
      </c>
      <c r="C144" s="149"/>
      <c r="D144" s="145"/>
      <c r="E144" s="144"/>
      <c r="F144" s="142"/>
      <c r="G144" s="145"/>
      <c r="H144" s="144"/>
    </row>
    <row r="145" spans="1:10" ht="18" customHeight="1" x14ac:dyDescent="0.35">
      <c r="A145" s="88" t="s">
        <v>106</v>
      </c>
      <c r="B145" s="132" t="s">
        <v>111</v>
      </c>
      <c r="C145" s="147"/>
      <c r="D145" s="140"/>
      <c r="E145" s="141"/>
      <c r="F145" s="139"/>
      <c r="G145" s="140"/>
      <c r="H145" s="141"/>
    </row>
    <row r="146" spans="1:10" ht="18" customHeight="1" x14ac:dyDescent="0.35">
      <c r="A146" s="88" t="s">
        <v>106</v>
      </c>
      <c r="B146" s="109" t="s">
        <v>112</v>
      </c>
      <c r="C146" s="147"/>
      <c r="D146" s="140"/>
      <c r="E146" s="141"/>
      <c r="F146" s="139"/>
      <c r="G146" s="140"/>
      <c r="H146" s="141"/>
    </row>
    <row r="147" spans="1:10" ht="18" customHeight="1" x14ac:dyDescent="0.35">
      <c r="A147" s="88" t="s">
        <v>106</v>
      </c>
      <c r="B147" s="109" t="s">
        <v>113</v>
      </c>
      <c r="C147" s="147"/>
      <c r="D147" s="140"/>
      <c r="E147" s="141"/>
      <c r="F147" s="139"/>
      <c r="G147" s="140"/>
      <c r="H147" s="141"/>
    </row>
    <row r="148" spans="1:10" ht="18" customHeight="1" x14ac:dyDescent="0.35">
      <c r="A148" s="88" t="s">
        <v>106</v>
      </c>
      <c r="B148" s="109" t="s">
        <v>114</v>
      </c>
      <c r="C148" s="147"/>
      <c r="D148" s="140"/>
      <c r="E148" s="141"/>
      <c r="F148" s="139"/>
      <c r="G148" s="140"/>
      <c r="H148" s="141"/>
    </row>
    <row r="149" spans="1:10" ht="18" customHeight="1" x14ac:dyDescent="0.35">
      <c r="A149" s="88" t="s">
        <v>106</v>
      </c>
      <c r="B149" s="109" t="s">
        <v>115</v>
      </c>
      <c r="C149" s="147"/>
      <c r="D149" s="146"/>
      <c r="E149" s="141"/>
      <c r="F149" s="147"/>
      <c r="G149" s="146"/>
      <c r="H149" s="141"/>
    </row>
    <row r="150" spans="1:10" ht="18" customHeight="1" x14ac:dyDescent="0.35">
      <c r="A150" s="88" t="s">
        <v>106</v>
      </c>
      <c r="B150" s="109" t="s">
        <v>116</v>
      </c>
      <c r="C150" s="147"/>
      <c r="D150" s="140"/>
      <c r="E150" s="141"/>
      <c r="F150" s="139"/>
      <c r="G150" s="140"/>
      <c r="H150" s="141"/>
    </row>
    <row r="151" spans="1:10" ht="18" customHeight="1" x14ac:dyDescent="0.35">
      <c r="A151" s="88" t="s">
        <v>106</v>
      </c>
      <c r="B151" s="109" t="s">
        <v>117</v>
      </c>
      <c r="C151" s="147"/>
      <c r="D151" s="140"/>
      <c r="E151" s="141"/>
      <c r="F151" s="139"/>
      <c r="G151" s="140"/>
      <c r="H151" s="141"/>
    </row>
    <row r="152" spans="1:10" ht="18" customHeight="1" x14ac:dyDescent="0.35">
      <c r="A152" s="88" t="s">
        <v>106</v>
      </c>
      <c r="B152" s="109" t="s">
        <v>118</v>
      </c>
      <c r="C152" s="147"/>
      <c r="D152" s="140"/>
      <c r="E152" s="141"/>
      <c r="F152" s="139"/>
      <c r="G152" s="140"/>
      <c r="H152" s="141"/>
    </row>
    <row r="153" spans="1:10" ht="18" customHeight="1" x14ac:dyDescent="0.35">
      <c r="A153" s="336" t="s">
        <v>106</v>
      </c>
      <c r="B153" s="338" t="s">
        <v>246</v>
      </c>
      <c r="C153" s="147"/>
      <c r="D153" s="140"/>
      <c r="E153" s="141"/>
      <c r="F153" s="139"/>
      <c r="G153" s="140"/>
      <c r="H153" s="141"/>
    </row>
    <row r="154" spans="1:10" ht="18" customHeight="1" x14ac:dyDescent="0.35">
      <c r="A154" s="336" t="s">
        <v>106</v>
      </c>
      <c r="B154" s="338" t="s">
        <v>247</v>
      </c>
      <c r="C154" s="147"/>
      <c r="D154" s="140"/>
      <c r="E154" s="141"/>
      <c r="F154" s="139"/>
      <c r="G154" s="140"/>
      <c r="H154" s="141"/>
    </row>
    <row r="155" spans="1:10" s="2" customFormat="1" ht="18" customHeight="1" x14ac:dyDescent="0.35">
      <c r="A155" s="88" t="s">
        <v>106</v>
      </c>
      <c r="B155" s="109" t="s">
        <v>119</v>
      </c>
      <c r="C155" s="147"/>
      <c r="D155" s="140"/>
      <c r="E155" s="141"/>
      <c r="F155" s="139"/>
      <c r="G155" s="140"/>
      <c r="H155" s="141"/>
      <c r="J155" s="40"/>
    </row>
    <row r="156" spans="1:10" s="38" customFormat="1" ht="18" customHeight="1" x14ac:dyDescent="0.35">
      <c r="A156" s="88" t="s">
        <v>106</v>
      </c>
      <c r="B156" s="109" t="s">
        <v>120</v>
      </c>
      <c r="C156" s="147"/>
      <c r="D156" s="146"/>
      <c r="E156" s="141"/>
      <c r="F156" s="147"/>
      <c r="G156" s="146"/>
      <c r="H156" s="141"/>
      <c r="J156" s="41"/>
    </row>
    <row r="157" spans="1:10" s="18" customFormat="1" ht="18" customHeight="1" x14ac:dyDescent="0.35">
      <c r="A157" s="88" t="s">
        <v>106</v>
      </c>
      <c r="B157" s="109" t="s">
        <v>121</v>
      </c>
      <c r="C157" s="147"/>
      <c r="D157" s="146"/>
      <c r="E157" s="141"/>
      <c r="F157" s="147"/>
      <c r="G157" s="146"/>
      <c r="H157" s="141"/>
      <c r="J157" s="40"/>
    </row>
    <row r="158" spans="1:10" s="2" customFormat="1" ht="18" customHeight="1" x14ac:dyDescent="0.35">
      <c r="A158" s="88" t="s">
        <v>106</v>
      </c>
      <c r="B158" s="109" t="s">
        <v>122</v>
      </c>
      <c r="C158" s="147"/>
      <c r="D158" s="146"/>
      <c r="E158" s="141"/>
      <c r="F158" s="147"/>
      <c r="G158" s="146"/>
      <c r="H158" s="141"/>
      <c r="J158" s="40"/>
    </row>
    <row r="159" spans="1:10" s="2" customFormat="1" ht="18" customHeight="1" x14ac:dyDescent="0.35">
      <c r="A159" s="88" t="s">
        <v>106</v>
      </c>
      <c r="B159" s="109" t="s">
        <v>123</v>
      </c>
      <c r="C159" s="147"/>
      <c r="D159" s="154"/>
      <c r="E159" s="141"/>
      <c r="F159" s="139"/>
      <c r="G159" s="154"/>
      <c r="H159" s="141"/>
      <c r="J159" s="40"/>
    </row>
    <row r="160" spans="1:10" s="2" customFormat="1" ht="18" customHeight="1" thickBot="1" x14ac:dyDescent="0.4">
      <c r="A160" s="81" t="s">
        <v>106</v>
      </c>
      <c r="B160" s="138" t="s">
        <v>124</v>
      </c>
      <c r="C160" s="149"/>
      <c r="D160" s="145"/>
      <c r="E160" s="144"/>
      <c r="F160" s="142"/>
      <c r="G160" s="145"/>
      <c r="H160" s="144"/>
      <c r="J160" s="40"/>
    </row>
    <row r="161" spans="1:42" s="38" customFormat="1" ht="18" customHeight="1" thickBot="1" x14ac:dyDescent="0.4">
      <c r="A161" s="27"/>
      <c r="B161" s="27"/>
      <c r="C161" s="27"/>
      <c r="D161" s="27"/>
      <c r="E161" s="28"/>
      <c r="F161" s="27"/>
      <c r="G161" s="27"/>
      <c r="H161" s="27"/>
      <c r="J161" s="40"/>
    </row>
    <row r="162" spans="1:42" s="33" customFormat="1" ht="18" customHeight="1" x14ac:dyDescent="0.35">
      <c r="A162" s="356" t="s">
        <v>90</v>
      </c>
      <c r="B162" s="357"/>
      <c r="C162" s="357"/>
      <c r="D162" s="357"/>
      <c r="E162" s="357"/>
      <c r="F162" s="357"/>
      <c r="G162" s="357"/>
      <c r="H162" s="358"/>
      <c r="J162" s="40"/>
    </row>
    <row r="163" spans="1:42" s="35" customFormat="1" ht="18" customHeight="1" x14ac:dyDescent="0.35">
      <c r="A163" s="542"/>
      <c r="B163" s="543"/>
      <c r="C163" s="543"/>
      <c r="D163" s="543"/>
      <c r="E163" s="389" t="s">
        <v>91</v>
      </c>
      <c r="F163" s="389"/>
      <c r="G163" s="594" t="s">
        <v>31</v>
      </c>
      <c r="H163" s="595"/>
      <c r="I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P163" s="33"/>
    </row>
    <row r="164" spans="1:42" s="35" customFormat="1" ht="18" customHeight="1" x14ac:dyDescent="0.35">
      <c r="A164" s="452" t="s">
        <v>24</v>
      </c>
      <c r="B164" s="453"/>
      <c r="C164" s="453"/>
      <c r="D164" s="454"/>
      <c r="E164" s="227"/>
      <c r="F164" s="185" t="s">
        <v>25</v>
      </c>
      <c r="G164" s="53"/>
      <c r="H164" s="66" t="s">
        <v>25</v>
      </c>
      <c r="I164" s="33"/>
      <c r="J164" s="40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P164" s="33"/>
    </row>
    <row r="165" spans="1:42" s="35" customFormat="1" ht="18" customHeight="1" x14ac:dyDescent="0.35">
      <c r="A165" s="455" t="s">
        <v>26</v>
      </c>
      <c r="B165" s="456"/>
      <c r="C165" s="456"/>
      <c r="D165" s="457"/>
      <c r="E165" s="55"/>
      <c r="F165" s="186" t="s">
        <v>25</v>
      </c>
      <c r="G165" s="55"/>
      <c r="H165" s="31" t="s">
        <v>25</v>
      </c>
      <c r="I165" s="33"/>
      <c r="J165" s="40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P165" s="33"/>
    </row>
    <row r="166" spans="1:42" s="35" customFormat="1" ht="18" customHeight="1" x14ac:dyDescent="0.35">
      <c r="A166" s="231" t="s">
        <v>163</v>
      </c>
      <c r="B166" s="232"/>
      <c r="C166" s="232"/>
      <c r="D166" s="233"/>
      <c r="E166" s="228"/>
      <c r="F166" s="186" t="s">
        <v>25</v>
      </c>
      <c r="G166" s="55"/>
      <c r="H166" s="31" t="s">
        <v>25</v>
      </c>
      <c r="I166" s="33"/>
      <c r="J166" s="40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P166" s="33"/>
    </row>
    <row r="167" spans="1:42" s="18" customFormat="1" ht="18" customHeight="1" x14ac:dyDescent="0.35">
      <c r="A167" s="231" t="s">
        <v>38</v>
      </c>
      <c r="B167" s="232"/>
      <c r="C167" s="232"/>
      <c r="D167" s="233"/>
      <c r="E167" s="56"/>
      <c r="F167" s="186" t="s">
        <v>25</v>
      </c>
      <c r="G167" s="56"/>
      <c r="H167" s="31" t="s">
        <v>25</v>
      </c>
    </row>
    <row r="168" spans="1:42" s="2" customFormat="1" ht="18" customHeight="1" x14ac:dyDescent="0.35">
      <c r="A168" s="458" t="s">
        <v>214</v>
      </c>
      <c r="B168" s="436"/>
      <c r="C168" s="436"/>
      <c r="D168" s="459"/>
      <c r="E168" s="228"/>
      <c r="F168" s="193" t="s">
        <v>25</v>
      </c>
      <c r="G168" s="55"/>
      <c r="H168" s="230" t="s">
        <v>25</v>
      </c>
      <c r="J168" s="40"/>
    </row>
    <row r="169" spans="1:42" s="2" customFormat="1" ht="18" customHeight="1" x14ac:dyDescent="0.35">
      <c r="A169" s="353" t="s">
        <v>112</v>
      </c>
      <c r="B169" s="354"/>
      <c r="C169" s="354"/>
      <c r="D169" s="355"/>
      <c r="E169" s="228"/>
      <c r="F169" s="186" t="s">
        <v>25</v>
      </c>
      <c r="G169" s="55"/>
      <c r="H169" s="230" t="s">
        <v>25</v>
      </c>
      <c r="J169" s="40"/>
    </row>
    <row r="170" spans="1:42" s="2" customFormat="1" ht="18" customHeight="1" x14ac:dyDescent="0.35">
      <c r="A170" s="460" t="s">
        <v>28</v>
      </c>
      <c r="B170" s="461"/>
      <c r="C170" s="461"/>
      <c r="D170" s="462"/>
      <c r="E170" s="282"/>
      <c r="F170" s="186" t="s">
        <v>25</v>
      </c>
      <c r="G170" s="56"/>
      <c r="H170" s="230" t="s">
        <v>25</v>
      </c>
      <c r="J170" s="40"/>
    </row>
    <row r="171" spans="1:42" s="33" customFormat="1" ht="18" customHeight="1" thickBot="1" x14ac:dyDescent="0.4">
      <c r="A171" s="359"/>
      <c r="B171" s="360"/>
      <c r="C171" s="360"/>
      <c r="D171" s="360"/>
      <c r="E171" s="229"/>
      <c r="F171" s="189" t="s">
        <v>25</v>
      </c>
      <c r="G171" s="234"/>
      <c r="H171" s="30" t="s">
        <v>25</v>
      </c>
      <c r="J171" s="40"/>
    </row>
    <row r="172" spans="1:42" s="33" customFormat="1" ht="18" customHeight="1" thickBot="1" x14ac:dyDescent="0.4">
      <c r="A172" s="193"/>
      <c r="B172" s="193"/>
      <c r="C172" s="193"/>
      <c r="D172" s="193"/>
      <c r="E172" s="250"/>
      <c r="F172" s="190"/>
      <c r="G172" s="283"/>
      <c r="H172" s="190"/>
      <c r="J172" s="40"/>
    </row>
    <row r="173" spans="1:42" s="33" customFormat="1" ht="18" customHeight="1" x14ac:dyDescent="0.35">
      <c r="A173" s="356" t="s">
        <v>215</v>
      </c>
      <c r="B173" s="357"/>
      <c r="C173" s="357"/>
      <c r="D173" s="357"/>
      <c r="E173" s="357"/>
      <c r="F173" s="357"/>
      <c r="G173" s="357"/>
      <c r="H173" s="358"/>
      <c r="J173" s="40"/>
    </row>
    <row r="174" spans="1:42" s="33" customFormat="1" ht="18" customHeight="1" thickBot="1" x14ac:dyDescent="0.4">
      <c r="A174" s="359" t="s">
        <v>216</v>
      </c>
      <c r="B174" s="360"/>
      <c r="C174" s="360"/>
      <c r="D174" s="360"/>
      <c r="E174" s="360"/>
      <c r="F174" s="360"/>
      <c r="G174" s="360"/>
      <c r="H174" s="284"/>
      <c r="J174" s="40"/>
    </row>
    <row r="175" spans="1:42" s="33" customFormat="1" ht="18" customHeight="1" thickBot="1" x14ac:dyDescent="0.4">
      <c r="A175" s="193"/>
      <c r="B175" s="193"/>
      <c r="C175" s="193"/>
      <c r="D175" s="193"/>
      <c r="E175" s="193"/>
      <c r="F175" s="193"/>
      <c r="G175" s="193"/>
      <c r="H175" s="193"/>
      <c r="J175" s="40"/>
    </row>
    <row r="176" spans="1:42" s="33" customFormat="1" ht="18" customHeight="1" x14ac:dyDescent="0.35">
      <c r="A176" s="356" t="s">
        <v>217</v>
      </c>
      <c r="B176" s="357"/>
      <c r="C176" s="357"/>
      <c r="D176" s="357"/>
      <c r="E176" s="357"/>
      <c r="F176" s="357"/>
      <c r="G176" s="357"/>
      <c r="H176" s="358"/>
      <c r="J176" s="40"/>
    </row>
    <row r="177" spans="1:42" s="33" customFormat="1" ht="30" customHeight="1" thickBot="1" x14ac:dyDescent="0.4">
      <c r="A177" s="361"/>
      <c r="B177" s="362"/>
      <c r="C177" s="362"/>
      <c r="D177" s="362"/>
      <c r="E177" s="362"/>
      <c r="F177" s="362"/>
      <c r="G177" s="362"/>
      <c r="H177" s="363"/>
      <c r="J177" s="40"/>
    </row>
    <row r="178" spans="1:42" s="35" customFormat="1" ht="18" customHeight="1" thickBot="1" x14ac:dyDescent="0.4">
      <c r="A178" s="20"/>
      <c r="B178" s="18"/>
      <c r="C178" s="18"/>
      <c r="D178" s="18"/>
      <c r="E178" s="18"/>
      <c r="F178" s="18"/>
      <c r="G178" s="18"/>
      <c r="H178" s="18"/>
      <c r="I178" s="33"/>
      <c r="J178" s="41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  <c r="AO178" s="33"/>
      <c r="AP178" s="33"/>
    </row>
    <row r="179" spans="1:42" s="35" customFormat="1" ht="18" customHeight="1" x14ac:dyDescent="0.35">
      <c r="A179" s="356" t="s">
        <v>218</v>
      </c>
      <c r="B179" s="357"/>
      <c r="C179" s="357"/>
      <c r="D179" s="357"/>
      <c r="E179" s="357"/>
      <c r="F179" s="357"/>
      <c r="G179" s="357"/>
      <c r="H179" s="358"/>
      <c r="I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  <c r="AO179" s="33"/>
      <c r="AP179" s="33"/>
    </row>
    <row r="180" spans="1:42" s="35" customFormat="1" ht="18" customHeight="1" x14ac:dyDescent="0.35">
      <c r="A180" s="406" t="s">
        <v>61</v>
      </c>
      <c r="B180" s="407"/>
      <c r="C180" s="407"/>
      <c r="D180" s="407"/>
      <c r="E180" s="404" t="s">
        <v>179</v>
      </c>
      <c r="F180" s="404"/>
      <c r="G180" s="67" t="s">
        <v>60</v>
      </c>
      <c r="H180" s="256" t="s">
        <v>179</v>
      </c>
      <c r="I180" s="33"/>
      <c r="J180" s="41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  <c r="AO180" s="33"/>
      <c r="AP180" s="33"/>
    </row>
    <row r="181" spans="1:42" s="35" customFormat="1" ht="18" customHeight="1" thickBot="1" x14ac:dyDescent="0.4">
      <c r="A181" s="408" t="s">
        <v>63</v>
      </c>
      <c r="B181" s="409"/>
      <c r="C181" s="409"/>
      <c r="D181" s="409"/>
      <c r="E181" s="405" t="s">
        <v>49</v>
      </c>
      <c r="F181" s="405"/>
      <c r="G181" s="68" t="s">
        <v>60</v>
      </c>
      <c r="H181" s="91" t="s">
        <v>49</v>
      </c>
      <c r="I181" s="33"/>
      <c r="J181" s="41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  <c r="AK181" s="33"/>
      <c r="AL181" s="33"/>
      <c r="AM181" s="33"/>
      <c r="AN181" s="33"/>
      <c r="AO181" s="33"/>
      <c r="AP181" s="33"/>
    </row>
    <row r="182" spans="1:42" s="35" customFormat="1" ht="18" customHeight="1" thickBot="1" x14ac:dyDescent="0.4">
      <c r="A182" s="33"/>
      <c r="B182" s="33"/>
      <c r="C182" s="33"/>
      <c r="D182" s="33"/>
      <c r="E182" s="33"/>
      <c r="F182" s="33"/>
      <c r="G182" s="33"/>
      <c r="H182" s="33"/>
      <c r="I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  <c r="AK182" s="33"/>
      <c r="AL182" s="33"/>
      <c r="AM182" s="33"/>
      <c r="AN182" s="33"/>
      <c r="AO182" s="33"/>
      <c r="AP182" s="33"/>
    </row>
    <row r="183" spans="1:42" s="2" customFormat="1" ht="18" customHeight="1" x14ac:dyDescent="0.35">
      <c r="A183" s="356" t="s">
        <v>219</v>
      </c>
      <c r="B183" s="357"/>
      <c r="C183" s="357"/>
      <c r="D183" s="357"/>
      <c r="E183" s="357"/>
      <c r="F183" s="357"/>
      <c r="G183" s="357"/>
      <c r="H183" s="358"/>
      <c r="J183" s="41"/>
    </row>
    <row r="184" spans="1:42" s="2" customFormat="1" ht="18" customHeight="1" x14ac:dyDescent="0.35">
      <c r="A184" s="406" t="s">
        <v>68</v>
      </c>
      <c r="B184" s="407"/>
      <c r="C184" s="407"/>
      <c r="D184" s="407"/>
      <c r="E184" s="404" t="s">
        <v>179</v>
      </c>
      <c r="F184" s="404"/>
      <c r="G184" s="404"/>
      <c r="H184" s="592"/>
      <c r="J184" s="41"/>
    </row>
    <row r="185" spans="1:42" s="2" customFormat="1" ht="18" customHeight="1" x14ac:dyDescent="0.35">
      <c r="A185" s="406" t="s">
        <v>70</v>
      </c>
      <c r="B185" s="407"/>
      <c r="C185" s="407"/>
      <c r="D185" s="407"/>
      <c r="E185" s="404" t="s">
        <v>179</v>
      </c>
      <c r="F185" s="404"/>
      <c r="G185" s="404"/>
      <c r="H185" s="592"/>
      <c r="J185" s="41"/>
    </row>
    <row r="186" spans="1:42" s="38" customFormat="1" ht="18" customHeight="1" thickBot="1" x14ac:dyDescent="0.4">
      <c r="A186" s="590" t="s">
        <v>69</v>
      </c>
      <c r="B186" s="591"/>
      <c r="C186" s="591"/>
      <c r="D186" s="591"/>
      <c r="E186" s="405" t="s">
        <v>179</v>
      </c>
      <c r="F186" s="405"/>
      <c r="G186" s="405"/>
      <c r="H186" s="593"/>
      <c r="J186" s="40"/>
    </row>
    <row r="187" spans="1:42" ht="18" customHeight="1" x14ac:dyDescent="0.35">
      <c r="A187" s="1"/>
      <c r="B187" s="2"/>
      <c r="C187" s="2"/>
      <c r="D187" s="2"/>
      <c r="E187" s="2"/>
      <c r="F187" s="2"/>
      <c r="G187" s="2"/>
      <c r="H187" s="2"/>
    </row>
    <row r="188" spans="1:42" s="212" customFormat="1" ht="18" customHeight="1" x14ac:dyDescent="0.35">
      <c r="A188" s="2"/>
      <c r="B188" s="2"/>
      <c r="C188" s="2"/>
      <c r="D188" s="2"/>
      <c r="E188" s="2"/>
      <c r="F188" s="2"/>
      <c r="G188" s="2"/>
      <c r="H188" s="2"/>
      <c r="J188" s="115"/>
    </row>
    <row r="189" spans="1:42" s="212" customFormat="1" ht="18" customHeight="1" x14ac:dyDescent="0.35">
      <c r="A189" s="15" t="s">
        <v>134</v>
      </c>
      <c r="B189" s="2"/>
      <c r="C189" s="2"/>
      <c r="D189" s="2"/>
      <c r="E189" s="2"/>
      <c r="F189" s="2"/>
      <c r="G189" s="2"/>
      <c r="H189" s="2"/>
      <c r="J189" s="115"/>
    </row>
    <row r="190" spans="1:42" s="212" customFormat="1" ht="18" customHeight="1" x14ac:dyDescent="0.35">
      <c r="A190" s="20"/>
      <c r="B190" s="18"/>
      <c r="C190" s="18"/>
      <c r="D190" s="18"/>
      <c r="E190" s="18"/>
      <c r="F190" s="18"/>
      <c r="G190" s="18"/>
      <c r="H190" s="18"/>
    </row>
    <row r="191" spans="1:42" s="38" customFormat="1" ht="18" customHeight="1" thickBot="1" x14ac:dyDescent="0.4">
      <c r="A191" s="17" t="s">
        <v>212</v>
      </c>
      <c r="B191" s="2"/>
      <c r="C191" s="2"/>
      <c r="D191" s="2"/>
      <c r="E191" s="2"/>
      <c r="F191" s="2"/>
      <c r="G191" s="2"/>
      <c r="H191" s="2"/>
      <c r="J191" s="41"/>
    </row>
    <row r="192" spans="1:42" s="38" customFormat="1" ht="18" customHeight="1" x14ac:dyDescent="0.35">
      <c r="A192" s="394" t="s">
        <v>29</v>
      </c>
      <c r="B192" s="395"/>
      <c r="C192" s="395"/>
      <c r="D192" s="395"/>
      <c r="E192" s="395"/>
      <c r="F192" s="395"/>
      <c r="G192" s="395"/>
      <c r="H192" s="396"/>
      <c r="J192" s="41"/>
    </row>
    <row r="193" spans="1:42" ht="18" customHeight="1" x14ac:dyDescent="0.35">
      <c r="A193" s="432" t="s">
        <v>30</v>
      </c>
      <c r="B193" s="433"/>
      <c r="C193" s="433"/>
      <c r="D193" s="433"/>
      <c r="E193" s="399" t="s">
        <v>91</v>
      </c>
      <c r="F193" s="399"/>
      <c r="G193" s="397" t="s">
        <v>31</v>
      </c>
      <c r="H193" s="398"/>
      <c r="J193" s="41"/>
      <c r="K193" s="5"/>
      <c r="L193" s="4"/>
    </row>
    <row r="194" spans="1:42" s="214" customFormat="1" ht="14.15" customHeight="1" x14ac:dyDescent="0.35">
      <c r="A194" s="560"/>
      <c r="B194" s="561"/>
      <c r="C194" s="561"/>
      <c r="D194" s="561"/>
      <c r="E194" s="208" t="s">
        <v>159</v>
      </c>
      <c r="F194" s="208" t="s">
        <v>55</v>
      </c>
      <c r="G194" s="208" t="s">
        <v>159</v>
      </c>
      <c r="H194" s="211" t="s">
        <v>55</v>
      </c>
      <c r="I194" s="212"/>
      <c r="J194" s="115"/>
      <c r="K194" s="182"/>
      <c r="L194" s="96"/>
      <c r="M194" s="212"/>
      <c r="N194" s="212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  <c r="AA194" s="212"/>
      <c r="AB194" s="212"/>
      <c r="AC194" s="212"/>
      <c r="AD194" s="212"/>
      <c r="AE194" s="212"/>
      <c r="AF194" s="212"/>
      <c r="AG194" s="212"/>
      <c r="AH194" s="212"/>
      <c r="AI194" s="212"/>
      <c r="AJ194" s="212"/>
      <c r="AK194" s="212"/>
      <c r="AL194" s="212"/>
      <c r="AM194" s="212"/>
      <c r="AN194" s="212"/>
      <c r="AO194" s="212"/>
      <c r="AP194" s="212"/>
    </row>
    <row r="195" spans="1:42" s="35" customFormat="1" ht="18" customHeight="1" x14ac:dyDescent="0.35">
      <c r="A195" s="472" t="s">
        <v>32</v>
      </c>
      <c r="B195" s="473"/>
      <c r="C195" s="473"/>
      <c r="D195" s="473"/>
      <c r="E195" s="215"/>
      <c r="F195" s="217" t="e">
        <f>E195/C40</f>
        <v>#DIV/0!</v>
      </c>
      <c r="G195" s="215"/>
      <c r="H195" s="221" t="e">
        <f>G195/C40</f>
        <v>#DIV/0!</v>
      </c>
      <c r="I195" s="33"/>
      <c r="J195" s="41"/>
      <c r="K195" s="209"/>
      <c r="L195" s="210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  <c r="AO195" s="33"/>
      <c r="AP195" s="33"/>
    </row>
    <row r="196" spans="1:42" s="214" customFormat="1" ht="18" customHeight="1" x14ac:dyDescent="0.35">
      <c r="A196" s="472" t="s">
        <v>26</v>
      </c>
      <c r="B196" s="473"/>
      <c r="C196" s="473"/>
      <c r="D196" s="473"/>
      <c r="E196" s="215"/>
      <c r="F196" s="217" t="e">
        <f>E196/C40</f>
        <v>#DIV/0!</v>
      </c>
      <c r="G196" s="215"/>
      <c r="H196" s="221" t="e">
        <f>G196/C40</f>
        <v>#DIV/0!</v>
      </c>
      <c r="I196" s="212"/>
      <c r="J196" s="115"/>
      <c r="K196" s="5"/>
      <c r="L196" s="96"/>
      <c r="M196" s="212"/>
      <c r="N196" s="212"/>
      <c r="O196" s="212"/>
      <c r="P196" s="212"/>
      <c r="Q196" s="212"/>
      <c r="R196" s="212"/>
      <c r="S196" s="212"/>
      <c r="T196" s="212"/>
      <c r="U196" s="212"/>
      <c r="V196" s="212"/>
      <c r="W196" s="212"/>
      <c r="X196" s="212"/>
      <c r="Y196" s="212"/>
      <c r="Z196" s="212"/>
      <c r="AA196" s="212"/>
      <c r="AB196" s="212"/>
      <c r="AC196" s="212"/>
      <c r="AD196" s="212"/>
      <c r="AE196" s="212"/>
      <c r="AF196" s="212"/>
      <c r="AG196" s="212"/>
      <c r="AH196" s="212"/>
      <c r="AI196" s="212"/>
      <c r="AJ196" s="212"/>
      <c r="AK196" s="212"/>
      <c r="AL196" s="212"/>
      <c r="AM196" s="212"/>
      <c r="AN196" s="212"/>
      <c r="AO196" s="212"/>
      <c r="AP196" s="212"/>
    </row>
    <row r="197" spans="1:42" s="212" customFormat="1" ht="18" customHeight="1" x14ac:dyDescent="0.35">
      <c r="A197" s="472" t="s">
        <v>204</v>
      </c>
      <c r="B197" s="473"/>
      <c r="C197" s="473"/>
      <c r="D197" s="473"/>
      <c r="E197" s="215"/>
      <c r="F197" s="217" t="e">
        <f>E197/C40</f>
        <v>#DIV/0!</v>
      </c>
      <c r="G197" s="215"/>
      <c r="H197" s="221" t="e">
        <f>G197/C40</f>
        <v>#DIV/0!</v>
      </c>
      <c r="J197" s="115"/>
      <c r="K197" s="213"/>
      <c r="L197" s="213"/>
    </row>
    <row r="198" spans="1:42" s="212" customFormat="1" ht="18" customHeight="1" x14ac:dyDescent="0.35">
      <c r="A198" s="472" t="s">
        <v>139</v>
      </c>
      <c r="B198" s="473"/>
      <c r="C198" s="473"/>
      <c r="D198" s="473"/>
      <c r="E198" s="216">
        <f>F198*C40</f>
        <v>0</v>
      </c>
      <c r="F198" s="218">
        <v>4</v>
      </c>
      <c r="G198" s="215"/>
      <c r="H198" s="221" t="e">
        <f>G198/C40</f>
        <v>#DIV/0!</v>
      </c>
      <c r="J198" s="115"/>
    </row>
    <row r="199" spans="1:42" s="214" customFormat="1" ht="18" customHeight="1" x14ac:dyDescent="0.35">
      <c r="A199" s="288" t="s">
        <v>236</v>
      </c>
      <c r="B199" s="341"/>
      <c r="C199" s="341"/>
      <c r="D199" s="342"/>
      <c r="E199" s="215"/>
      <c r="F199" s="217" t="e">
        <f>E199/C40</f>
        <v>#DIV/0!</v>
      </c>
      <c r="G199" s="215"/>
      <c r="H199" s="221" t="e">
        <f>G199/C40</f>
        <v>#DIV/0!</v>
      </c>
      <c r="I199" s="212"/>
      <c r="J199" s="115"/>
      <c r="K199" s="212"/>
      <c r="L199" s="212"/>
      <c r="M199" s="212"/>
      <c r="N199" s="212"/>
      <c r="O199" s="212"/>
      <c r="P199" s="212"/>
      <c r="Q199" s="212"/>
      <c r="R199" s="212"/>
      <c r="S199" s="212"/>
      <c r="T199" s="212"/>
      <c r="U199" s="212"/>
      <c r="V199" s="212"/>
      <c r="W199" s="212"/>
      <c r="X199" s="212"/>
      <c r="Y199" s="212"/>
      <c r="Z199" s="212"/>
      <c r="AA199" s="212"/>
      <c r="AB199" s="212"/>
      <c r="AC199" s="212"/>
      <c r="AD199" s="212"/>
      <c r="AE199" s="212"/>
      <c r="AF199" s="212"/>
      <c r="AG199" s="212"/>
      <c r="AH199" s="212"/>
      <c r="AI199" s="212"/>
      <c r="AJ199" s="212"/>
      <c r="AK199" s="212"/>
      <c r="AL199" s="212"/>
      <c r="AM199" s="212"/>
      <c r="AN199" s="212"/>
      <c r="AO199" s="212"/>
      <c r="AP199" s="212"/>
    </row>
    <row r="200" spans="1:42" s="214" customFormat="1" ht="18" customHeight="1" thickBot="1" x14ac:dyDescent="0.4">
      <c r="A200" s="429" t="s">
        <v>211</v>
      </c>
      <c r="B200" s="430"/>
      <c r="C200" s="430"/>
      <c r="D200" s="430"/>
      <c r="E200" s="270">
        <f>SUM(E195:E199)</f>
        <v>0</v>
      </c>
      <c r="F200" s="219" t="e">
        <f>SUM(F195:F199)</f>
        <v>#DIV/0!</v>
      </c>
      <c r="G200" s="270">
        <f>SUM(G195:G199)</f>
        <v>0</v>
      </c>
      <c r="H200" s="220" t="e">
        <f>SUM(H195:H199)</f>
        <v>#DIV/0!</v>
      </c>
      <c r="I200" s="212"/>
      <c r="J200" s="115"/>
      <c r="K200" s="212"/>
      <c r="L200" s="212"/>
      <c r="M200" s="212"/>
      <c r="N200" s="212"/>
      <c r="O200" s="212"/>
      <c r="P200" s="212"/>
      <c r="Q200" s="212"/>
      <c r="R200" s="212"/>
      <c r="S200" s="212"/>
      <c r="T200" s="212"/>
      <c r="U200" s="212"/>
      <c r="V200" s="212"/>
      <c r="W200" s="212"/>
      <c r="X200" s="212"/>
      <c r="Y200" s="212"/>
      <c r="Z200" s="212"/>
      <c r="AA200" s="212"/>
      <c r="AB200" s="212"/>
      <c r="AC200" s="212"/>
      <c r="AD200" s="212"/>
      <c r="AE200" s="212"/>
      <c r="AF200" s="212"/>
      <c r="AG200" s="212"/>
      <c r="AH200" s="212"/>
      <c r="AI200" s="212"/>
      <c r="AJ200" s="212"/>
      <c r="AK200" s="212"/>
      <c r="AL200" s="212"/>
      <c r="AM200" s="212"/>
      <c r="AN200" s="212"/>
      <c r="AO200" s="212"/>
      <c r="AP200" s="212"/>
    </row>
    <row r="201" spans="1:42" s="214" customFormat="1" ht="18" customHeight="1" thickBot="1" x14ac:dyDescent="0.4">
      <c r="A201" s="119"/>
      <c r="B201" s="119"/>
      <c r="C201" s="119"/>
      <c r="D201" s="119"/>
      <c r="E201" s="120"/>
      <c r="F201" s="36"/>
      <c r="G201" s="36"/>
      <c r="H201" s="36"/>
      <c r="I201" s="212"/>
      <c r="J201" s="42"/>
      <c r="K201" s="212"/>
      <c r="L201" s="212"/>
      <c r="M201" s="212"/>
      <c r="N201" s="212"/>
      <c r="O201" s="212"/>
      <c r="P201" s="212"/>
      <c r="Q201" s="212"/>
      <c r="R201" s="212"/>
      <c r="S201" s="212"/>
      <c r="T201" s="212"/>
      <c r="U201" s="212"/>
      <c r="V201" s="212"/>
      <c r="W201" s="212"/>
      <c r="X201" s="212"/>
      <c r="Y201" s="212"/>
      <c r="Z201" s="212"/>
      <c r="AA201" s="212"/>
      <c r="AB201" s="212"/>
      <c r="AC201" s="212"/>
      <c r="AD201" s="212"/>
      <c r="AE201" s="212"/>
      <c r="AF201" s="212"/>
      <c r="AG201" s="212"/>
      <c r="AH201" s="212"/>
      <c r="AI201" s="212"/>
      <c r="AJ201" s="212"/>
      <c r="AK201" s="212"/>
      <c r="AL201" s="212"/>
      <c r="AM201" s="212"/>
      <c r="AN201" s="212"/>
      <c r="AO201" s="212"/>
      <c r="AP201" s="212"/>
    </row>
    <row r="202" spans="1:42" ht="18" customHeight="1" x14ac:dyDescent="0.35">
      <c r="A202" s="394" t="s">
        <v>65</v>
      </c>
      <c r="B202" s="395"/>
      <c r="C202" s="395"/>
      <c r="D202" s="395"/>
      <c r="E202" s="395"/>
      <c r="F202" s="395"/>
      <c r="G202" s="395"/>
      <c r="H202" s="396"/>
      <c r="J202" s="42"/>
    </row>
    <row r="203" spans="1:42" ht="18" customHeight="1" x14ac:dyDescent="0.35">
      <c r="A203" s="432" t="s">
        <v>30</v>
      </c>
      <c r="B203" s="433"/>
      <c r="C203" s="433"/>
      <c r="D203" s="433"/>
      <c r="E203" s="399" t="s">
        <v>91</v>
      </c>
      <c r="F203" s="399"/>
      <c r="G203" s="397" t="s">
        <v>31</v>
      </c>
      <c r="H203" s="398"/>
    </row>
    <row r="204" spans="1:42" ht="14.15" customHeight="1" x14ac:dyDescent="0.35">
      <c r="A204" s="434"/>
      <c r="B204" s="435"/>
      <c r="C204" s="435"/>
      <c r="D204" s="435"/>
      <c r="E204" s="208" t="s">
        <v>159</v>
      </c>
      <c r="F204" s="208" t="s">
        <v>55</v>
      </c>
      <c r="G204" s="208" t="s">
        <v>159</v>
      </c>
      <c r="H204" s="211" t="s">
        <v>55</v>
      </c>
    </row>
    <row r="205" spans="1:42" ht="18" customHeight="1" x14ac:dyDescent="0.35">
      <c r="A205" s="412" t="s">
        <v>151</v>
      </c>
      <c r="B205" s="413"/>
      <c r="C205" s="413"/>
      <c r="D205" s="413"/>
      <c r="E205" s="215"/>
      <c r="F205" s="217" t="e">
        <f>E205/C40</f>
        <v>#DIV/0!</v>
      </c>
      <c r="G205" s="215"/>
      <c r="H205" s="221" t="e">
        <f>G205/C40</f>
        <v>#DIV/0!</v>
      </c>
    </row>
    <row r="206" spans="1:42" ht="18" customHeight="1" x14ac:dyDescent="0.35">
      <c r="A206" s="423" t="s">
        <v>64</v>
      </c>
      <c r="B206" s="424"/>
      <c r="C206" s="424"/>
      <c r="D206" s="424"/>
      <c r="E206" s="215"/>
      <c r="F206" s="217" t="e">
        <f>E206/C40</f>
        <v>#DIV/0!</v>
      </c>
      <c r="G206" s="215"/>
      <c r="H206" s="221" t="e">
        <f>G206/C40</f>
        <v>#DIV/0!</v>
      </c>
    </row>
    <row r="207" spans="1:42" s="214" customFormat="1" ht="18" customHeight="1" x14ac:dyDescent="0.35">
      <c r="A207" s="287" t="s">
        <v>236</v>
      </c>
      <c r="B207" s="341"/>
      <c r="C207" s="341"/>
      <c r="D207" s="342"/>
      <c r="E207" s="215"/>
      <c r="F207" s="217" t="e">
        <f>E207/C40</f>
        <v>#DIV/0!</v>
      </c>
      <c r="G207" s="215"/>
      <c r="H207" s="221" t="e">
        <f>G207/C40</f>
        <v>#DIV/0!</v>
      </c>
      <c r="I207" s="212"/>
      <c r="J207" s="115"/>
      <c r="K207" s="212"/>
      <c r="L207" s="212"/>
      <c r="M207" s="212"/>
      <c r="N207" s="212"/>
      <c r="O207" s="212"/>
      <c r="P207" s="212"/>
      <c r="Q207" s="212"/>
      <c r="R207" s="212"/>
      <c r="S207" s="212"/>
      <c r="T207" s="212"/>
      <c r="U207" s="212"/>
      <c r="V207" s="212"/>
      <c r="W207" s="212"/>
      <c r="X207" s="212"/>
      <c r="Y207" s="212"/>
      <c r="Z207" s="212"/>
      <c r="AA207" s="212"/>
      <c r="AB207" s="212"/>
      <c r="AC207" s="212"/>
      <c r="AD207" s="212"/>
      <c r="AE207" s="212"/>
      <c r="AF207" s="212"/>
      <c r="AG207" s="212"/>
      <c r="AH207" s="212"/>
      <c r="AI207" s="212"/>
      <c r="AJ207" s="212"/>
      <c r="AK207" s="212"/>
      <c r="AL207" s="212"/>
      <c r="AM207" s="212"/>
      <c r="AN207" s="212"/>
      <c r="AO207" s="212"/>
      <c r="AP207" s="212"/>
    </row>
    <row r="208" spans="1:42" s="93" customFormat="1" ht="18" customHeight="1" thickBot="1" x14ac:dyDescent="0.4">
      <c r="A208" s="429" t="s">
        <v>33</v>
      </c>
      <c r="B208" s="430"/>
      <c r="C208" s="430"/>
      <c r="D208" s="431"/>
      <c r="E208" s="270">
        <f>SUM(E205:E207)</f>
        <v>0</v>
      </c>
      <c r="F208" s="219" t="e">
        <f>SUM(F205:F207)</f>
        <v>#DIV/0!</v>
      </c>
      <c r="G208" s="270">
        <f>SUM(G205:G207)</f>
        <v>0</v>
      </c>
      <c r="H208" s="220" t="e">
        <f>SUM(H205:H207)</f>
        <v>#DIV/0!</v>
      </c>
      <c r="I208" s="38"/>
      <c r="J208" s="40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8"/>
      <c r="AJ208" s="38"/>
      <c r="AK208" s="38"/>
      <c r="AL208" s="38"/>
      <c r="AM208" s="38"/>
      <c r="AN208" s="38"/>
      <c r="AO208" s="38"/>
      <c r="AP208" s="38"/>
    </row>
    <row r="209" spans="1:42" s="21" customFormat="1" ht="18" customHeight="1" x14ac:dyDescent="0.35">
      <c r="A209" s="6"/>
      <c r="B209" s="6"/>
      <c r="C209" s="6"/>
      <c r="D209" s="6"/>
      <c r="E209" s="6"/>
      <c r="F209" s="6"/>
      <c r="G209" s="6"/>
      <c r="H209" s="6"/>
      <c r="I209" s="18"/>
      <c r="J209" s="40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</row>
    <row r="210" spans="1:42" s="21" customFormat="1" ht="18" customHeight="1" thickBot="1" x14ac:dyDescent="0.4">
      <c r="A210" s="92" t="s">
        <v>152</v>
      </c>
      <c r="B210" s="6"/>
      <c r="C210" s="6"/>
      <c r="D210" s="6"/>
      <c r="E210" s="6"/>
      <c r="F210" s="6"/>
      <c r="G210" s="6"/>
      <c r="H210" s="6"/>
      <c r="I210" s="18"/>
      <c r="J210" s="41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</row>
    <row r="211" spans="1:42" s="21" customFormat="1" ht="18" customHeight="1" x14ac:dyDescent="0.35">
      <c r="A211" s="394" t="s">
        <v>153</v>
      </c>
      <c r="B211" s="395"/>
      <c r="C211" s="395"/>
      <c r="D211" s="395"/>
      <c r="E211" s="395"/>
      <c r="F211" s="395"/>
      <c r="G211" s="395"/>
      <c r="H211" s="396"/>
      <c r="I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</row>
    <row r="212" spans="1:42" s="21" customFormat="1" ht="18" customHeight="1" x14ac:dyDescent="0.35">
      <c r="A212" s="432" t="s">
        <v>30</v>
      </c>
      <c r="B212" s="433"/>
      <c r="C212" s="433"/>
      <c r="D212" s="433"/>
      <c r="E212" s="399" t="s">
        <v>91</v>
      </c>
      <c r="F212" s="399"/>
      <c r="G212" s="397" t="s">
        <v>31</v>
      </c>
      <c r="H212" s="398"/>
      <c r="I212" s="18"/>
      <c r="J212" s="40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  <c r="AN212" s="18"/>
      <c r="AO212" s="18"/>
      <c r="AP212" s="18"/>
    </row>
    <row r="213" spans="1:42" s="21" customFormat="1" ht="14.15" customHeight="1" x14ac:dyDescent="0.35">
      <c r="A213" s="427"/>
      <c r="B213" s="428"/>
      <c r="C213" s="428"/>
      <c r="D213" s="428"/>
      <c r="E213" s="208" t="s">
        <v>159</v>
      </c>
      <c r="F213" s="208" t="s">
        <v>55</v>
      </c>
      <c r="G213" s="208" t="s">
        <v>159</v>
      </c>
      <c r="H213" s="211" t="s">
        <v>55</v>
      </c>
      <c r="I213" s="18"/>
      <c r="J213" s="40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  <c r="AN213" s="18"/>
      <c r="AO213" s="18"/>
      <c r="AP213" s="18"/>
    </row>
    <row r="214" spans="1:42" s="21" customFormat="1" ht="18" customHeight="1" x14ac:dyDescent="0.35">
      <c r="A214" s="412" t="s">
        <v>137</v>
      </c>
      <c r="B214" s="413"/>
      <c r="C214" s="413"/>
      <c r="D214" s="426"/>
      <c r="E214" s="215"/>
      <c r="F214" s="217" t="e">
        <f>E214/C40</f>
        <v>#DIV/0!</v>
      </c>
      <c r="G214" s="215"/>
      <c r="H214" s="221" t="e">
        <f>G214/C40</f>
        <v>#DIV/0!</v>
      </c>
      <c r="I214" s="18"/>
      <c r="J214" s="40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  <c r="AN214" s="18"/>
      <c r="AO214" s="18"/>
      <c r="AP214" s="18"/>
    </row>
    <row r="215" spans="1:42" ht="18" customHeight="1" x14ac:dyDescent="0.35">
      <c r="A215" s="423" t="s">
        <v>138</v>
      </c>
      <c r="B215" s="424"/>
      <c r="C215" s="424"/>
      <c r="D215" s="425"/>
      <c r="E215" s="215"/>
      <c r="F215" s="217" t="e">
        <f>E215/C40</f>
        <v>#DIV/0!</v>
      </c>
      <c r="G215" s="215"/>
      <c r="H215" s="221" t="e">
        <f>G215/C40</f>
        <v>#DIV/0!</v>
      </c>
    </row>
    <row r="216" spans="1:42" ht="18" customHeight="1" x14ac:dyDescent="0.35">
      <c r="A216" s="423" t="s">
        <v>154</v>
      </c>
      <c r="B216" s="424"/>
      <c r="C216" s="424"/>
      <c r="D216" s="425"/>
      <c r="E216" s="215"/>
      <c r="F216" s="217" t="e">
        <f>E216/C40</f>
        <v>#DIV/0!</v>
      </c>
      <c r="G216" s="215"/>
      <c r="H216" s="221" t="e">
        <f>G216/C40</f>
        <v>#DIV/0!</v>
      </c>
    </row>
    <row r="217" spans="1:42" ht="18" customHeight="1" x14ac:dyDescent="0.35">
      <c r="A217" s="423" t="s">
        <v>155</v>
      </c>
      <c r="B217" s="424"/>
      <c r="C217" s="424"/>
      <c r="D217" s="425"/>
      <c r="E217" s="215"/>
      <c r="F217" s="217" t="e">
        <f>E217/C40</f>
        <v>#DIV/0!</v>
      </c>
      <c r="G217" s="215"/>
      <c r="H217" s="221" t="e">
        <f>G217/C40</f>
        <v>#DIV/0!</v>
      </c>
      <c r="J217" s="21"/>
    </row>
    <row r="218" spans="1:42" s="21" customFormat="1" ht="18" customHeight="1" x14ac:dyDescent="0.35">
      <c r="A218" s="327" t="s">
        <v>236</v>
      </c>
      <c r="B218" s="341"/>
      <c r="C218" s="341"/>
      <c r="D218" s="342"/>
      <c r="E218" s="222"/>
      <c r="F218" s="223" t="e">
        <f>E218/C40</f>
        <v>#DIV/0!</v>
      </c>
      <c r="G218" s="222"/>
      <c r="H218" s="221" t="e">
        <f>G218/C40</f>
        <v>#DIV/0!</v>
      </c>
      <c r="I218" s="18"/>
      <c r="J218" s="40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</row>
    <row r="219" spans="1:42" s="21" customFormat="1" ht="18" customHeight="1" thickBot="1" x14ac:dyDescent="0.4">
      <c r="A219" s="429" t="s">
        <v>136</v>
      </c>
      <c r="B219" s="430"/>
      <c r="C219" s="430"/>
      <c r="D219" s="431"/>
      <c r="E219" s="270">
        <f>SUM(E214:E218)</f>
        <v>0</v>
      </c>
      <c r="F219" s="219" t="e">
        <f>SUM(F214:F218)</f>
        <v>#DIV/0!</v>
      </c>
      <c r="G219" s="270">
        <f>SUM(G214:G218)</f>
        <v>0</v>
      </c>
      <c r="H219" s="220" t="e">
        <f>SUM(H214:H218)</f>
        <v>#DIV/0!</v>
      </c>
      <c r="I219" s="18"/>
      <c r="J219" s="110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  <c r="AN219" s="18"/>
      <c r="AO219" s="18"/>
      <c r="AP219" s="18"/>
    </row>
    <row r="220" spans="1:42" s="21" customFormat="1" ht="18" customHeight="1" thickBot="1" x14ac:dyDescent="0.4">
      <c r="A220" s="6"/>
      <c r="B220" s="6"/>
      <c r="C220" s="6"/>
      <c r="D220" s="6"/>
      <c r="E220" s="6"/>
      <c r="F220" s="6"/>
      <c r="G220" s="6"/>
      <c r="H220" s="6"/>
      <c r="I220" s="18"/>
      <c r="J220" s="40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  <c r="AN220" s="18"/>
      <c r="AO220" s="18"/>
      <c r="AP220" s="18"/>
    </row>
    <row r="221" spans="1:42" ht="18" customHeight="1" x14ac:dyDescent="0.35">
      <c r="A221" s="394" t="s">
        <v>158</v>
      </c>
      <c r="B221" s="395"/>
      <c r="C221" s="395"/>
      <c r="D221" s="395"/>
      <c r="E221" s="395"/>
      <c r="F221" s="395"/>
      <c r="G221" s="395"/>
      <c r="H221" s="396"/>
    </row>
    <row r="222" spans="1:42" ht="18" customHeight="1" x14ac:dyDescent="0.35">
      <c r="A222" s="184" t="s">
        <v>30</v>
      </c>
      <c r="B222" s="184"/>
      <c r="C222" s="184"/>
      <c r="D222" s="184"/>
      <c r="E222" s="399" t="s">
        <v>91</v>
      </c>
      <c r="F222" s="399"/>
      <c r="G222" s="397" t="s">
        <v>31</v>
      </c>
      <c r="H222" s="398"/>
    </row>
    <row r="223" spans="1:42" ht="14.15" customHeight="1" x14ac:dyDescent="0.35">
      <c r="A223" s="188"/>
      <c r="B223" s="188"/>
      <c r="C223" s="188"/>
      <c r="D223" s="188"/>
      <c r="E223" s="208" t="s">
        <v>159</v>
      </c>
      <c r="F223" s="208" t="s">
        <v>55</v>
      </c>
      <c r="G223" s="208" t="s">
        <v>159</v>
      </c>
      <c r="H223" s="211" t="s">
        <v>55</v>
      </c>
    </row>
    <row r="224" spans="1:42" s="21" customFormat="1" ht="18" customHeight="1" x14ac:dyDescent="0.35">
      <c r="A224" s="410" t="s">
        <v>156</v>
      </c>
      <c r="B224" s="386"/>
      <c r="C224" s="386"/>
      <c r="D224" s="411"/>
      <c r="E224" s="215"/>
      <c r="F224" s="217" t="e">
        <f>E224/C40</f>
        <v>#DIV/0!</v>
      </c>
      <c r="G224" s="215"/>
      <c r="H224" s="221" t="e">
        <f>G224/C40</f>
        <v>#DIV/0!</v>
      </c>
      <c r="I224" s="18"/>
      <c r="J224" s="40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</row>
    <row r="225" spans="1:42" s="21" customFormat="1" ht="18" customHeight="1" x14ac:dyDescent="0.35">
      <c r="A225" s="410" t="s">
        <v>157</v>
      </c>
      <c r="B225" s="386"/>
      <c r="C225" s="386"/>
      <c r="D225" s="411"/>
      <c r="E225" s="215"/>
      <c r="F225" s="217" t="e">
        <f>E225/C40</f>
        <v>#DIV/0!</v>
      </c>
      <c r="G225" s="215"/>
      <c r="H225" s="221" t="e">
        <f>G225/C40</f>
        <v>#DIV/0!</v>
      </c>
      <c r="I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</row>
    <row r="226" spans="1:42" s="21" customFormat="1" ht="18" customHeight="1" x14ac:dyDescent="0.35">
      <c r="A226" s="410" t="s">
        <v>34</v>
      </c>
      <c r="B226" s="386"/>
      <c r="C226" s="386"/>
      <c r="D226" s="411"/>
      <c r="E226" s="215"/>
      <c r="F226" s="217" t="e">
        <f>E226/C40</f>
        <v>#DIV/0!</v>
      </c>
      <c r="G226" s="215"/>
      <c r="H226" s="221" t="e">
        <f>G226/C40</f>
        <v>#DIV/0!</v>
      </c>
      <c r="I226" s="18"/>
      <c r="J226" s="40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</row>
    <row r="227" spans="1:42" s="21" customFormat="1" ht="18" customHeight="1" x14ac:dyDescent="0.35">
      <c r="A227" s="410" t="s">
        <v>35</v>
      </c>
      <c r="B227" s="386"/>
      <c r="C227" s="386"/>
      <c r="D227" s="411"/>
      <c r="E227" s="215"/>
      <c r="F227" s="217" t="e">
        <f>E227/C40</f>
        <v>#DIV/0!</v>
      </c>
      <c r="G227" s="215"/>
      <c r="H227" s="221" t="e">
        <f>G227/C40</f>
        <v>#DIV/0!</v>
      </c>
      <c r="I227" s="18"/>
      <c r="J227" s="40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  <c r="AN227" s="18"/>
      <c r="AO227" s="18"/>
      <c r="AP227" s="18"/>
    </row>
    <row r="228" spans="1:42" s="21" customFormat="1" ht="18" customHeight="1" x14ac:dyDescent="0.35">
      <c r="A228" s="410" t="s">
        <v>28</v>
      </c>
      <c r="B228" s="386"/>
      <c r="C228" s="386"/>
      <c r="D228" s="411"/>
      <c r="E228" s="222"/>
      <c r="F228" s="217" t="e">
        <f>E228/C40</f>
        <v>#DIV/0!</v>
      </c>
      <c r="G228" s="222"/>
      <c r="H228" s="221" t="e">
        <f>G228/C40</f>
        <v>#DIV/0!</v>
      </c>
      <c r="I228" s="18"/>
      <c r="J228" s="40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  <c r="AO228" s="18"/>
      <c r="AP228" s="18"/>
    </row>
    <row r="229" spans="1:42" ht="18" customHeight="1" x14ac:dyDescent="0.35">
      <c r="A229" s="328" t="s">
        <v>236</v>
      </c>
      <c r="B229" s="439"/>
      <c r="C229" s="439"/>
      <c r="D229" s="440"/>
      <c r="E229" s="215"/>
      <c r="F229" s="217" t="e">
        <f>E229/C40</f>
        <v>#DIV/0!</v>
      </c>
      <c r="G229" s="215"/>
      <c r="H229" s="221" t="e">
        <f>G229/C40</f>
        <v>#DIV/0!</v>
      </c>
    </row>
    <row r="230" spans="1:42" s="35" customFormat="1" ht="18" customHeight="1" thickBot="1" x14ac:dyDescent="0.4">
      <c r="A230" s="387" t="s">
        <v>193</v>
      </c>
      <c r="B230" s="388"/>
      <c r="C230" s="388"/>
      <c r="D230" s="388"/>
      <c r="E230" s="270">
        <f>SUM(E224:E229)</f>
        <v>0</v>
      </c>
      <c r="F230" s="219" t="e">
        <f>SUM(F224:F229)</f>
        <v>#DIV/0!</v>
      </c>
      <c r="G230" s="270">
        <f>SUM(G224:G229)</f>
        <v>0</v>
      </c>
      <c r="H230" s="220" t="e">
        <f>SUM(H224:H229)</f>
        <v>#DIV/0!</v>
      </c>
      <c r="I230" s="33"/>
      <c r="J230" s="40"/>
      <c r="K230" s="48"/>
      <c r="L230" s="48"/>
      <c r="M230" s="48"/>
      <c r="N230" s="48"/>
      <c r="O230" s="48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  <c r="AK230" s="33"/>
      <c r="AL230" s="33"/>
      <c r="AM230" s="33"/>
      <c r="AN230" s="33"/>
      <c r="AO230" s="33"/>
      <c r="AP230" s="33"/>
    </row>
    <row r="231" spans="1:42" s="35" customFormat="1" ht="18" customHeight="1" x14ac:dyDescent="0.35">
      <c r="A231" s="4"/>
      <c r="F231" s="2"/>
      <c r="G231" s="2"/>
      <c r="H231" s="2"/>
      <c r="I231" s="33"/>
      <c r="J231" s="40"/>
      <c r="K231" s="48"/>
      <c r="L231" s="48"/>
      <c r="M231" s="48"/>
      <c r="N231" s="48"/>
      <c r="O231" s="48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  <c r="AK231" s="33"/>
      <c r="AL231" s="33"/>
      <c r="AM231" s="33"/>
      <c r="AN231" s="33"/>
      <c r="AO231" s="33"/>
      <c r="AP231" s="33"/>
    </row>
    <row r="232" spans="1:42" ht="18" customHeight="1" x14ac:dyDescent="0.35">
      <c r="A232" s="1"/>
      <c r="B232" s="2"/>
      <c r="C232" s="2"/>
      <c r="D232" s="2"/>
      <c r="E232" s="2"/>
      <c r="F232" s="2"/>
      <c r="G232" s="2"/>
      <c r="H232" s="2"/>
      <c r="J232" s="41"/>
    </row>
    <row r="233" spans="1:42" ht="18" customHeight="1" thickBot="1" x14ac:dyDescent="0.4">
      <c r="A233" s="17" t="s">
        <v>182</v>
      </c>
      <c r="B233" s="2"/>
      <c r="C233" s="2"/>
      <c r="D233" s="2"/>
      <c r="E233" s="2"/>
      <c r="F233" s="2"/>
      <c r="G233" s="2"/>
      <c r="H233" s="2"/>
      <c r="J233" s="35"/>
    </row>
    <row r="234" spans="1:42" ht="18" customHeight="1" x14ac:dyDescent="0.35">
      <c r="A234" s="437" t="s">
        <v>187</v>
      </c>
      <c r="B234" s="438"/>
      <c r="C234" s="438"/>
      <c r="D234" s="438"/>
      <c r="E234" s="438"/>
      <c r="F234" s="438"/>
      <c r="G234" s="383" t="s">
        <v>188</v>
      </c>
      <c r="H234" s="384"/>
      <c r="J234" s="41"/>
    </row>
    <row r="235" spans="1:42" s="21" customFormat="1" ht="18" customHeight="1" x14ac:dyDescent="0.35">
      <c r="A235" s="441" t="s">
        <v>183</v>
      </c>
      <c r="B235" s="442"/>
      <c r="C235" s="442"/>
      <c r="D235" s="442"/>
      <c r="E235" s="442"/>
      <c r="F235" s="442"/>
      <c r="G235" s="215"/>
      <c r="H235" s="37" t="s">
        <v>159</v>
      </c>
      <c r="I235" s="18"/>
      <c r="J235" s="40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  <c r="AN235" s="18"/>
      <c r="AO235" s="18"/>
      <c r="AP235" s="18"/>
    </row>
    <row r="236" spans="1:42" s="21" customFormat="1" ht="18" customHeight="1" x14ac:dyDescent="0.35">
      <c r="A236" s="441" t="s">
        <v>184</v>
      </c>
      <c r="B236" s="442"/>
      <c r="C236" s="442"/>
      <c r="D236" s="442"/>
      <c r="E236" s="442"/>
      <c r="F236" s="442"/>
      <c r="G236" s="215"/>
      <c r="H236" s="37" t="s">
        <v>159</v>
      </c>
      <c r="I236" s="18"/>
      <c r="J236" s="40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  <c r="AN236" s="18"/>
      <c r="AO236" s="18"/>
      <c r="AP236" s="18"/>
    </row>
    <row r="237" spans="1:42" s="21" customFormat="1" ht="18" customHeight="1" x14ac:dyDescent="0.35">
      <c r="A237" s="441" t="s">
        <v>186</v>
      </c>
      <c r="B237" s="442"/>
      <c r="C237" s="442"/>
      <c r="D237" s="442"/>
      <c r="E237" s="442"/>
      <c r="F237" s="442"/>
      <c r="G237" s="222"/>
      <c r="H237" s="37" t="s">
        <v>159</v>
      </c>
      <c r="I237" s="18"/>
      <c r="J237" s="40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  <c r="AN237" s="18"/>
      <c r="AO237" s="18"/>
      <c r="AP237" s="18"/>
    </row>
    <row r="238" spans="1:42" s="21" customFormat="1" ht="18" customHeight="1" thickBot="1" x14ac:dyDescent="0.4">
      <c r="A238" s="387" t="s">
        <v>185</v>
      </c>
      <c r="B238" s="388"/>
      <c r="C238" s="388"/>
      <c r="D238" s="388"/>
      <c r="E238" s="388"/>
      <c r="F238" s="388"/>
      <c r="G238" s="270">
        <f>SUM(G235:G237)</f>
        <v>0</v>
      </c>
      <c r="H238" s="271" t="s">
        <v>159</v>
      </c>
      <c r="I238" s="18"/>
      <c r="J238" s="40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</row>
    <row r="239" spans="1:42" s="21" customFormat="1" ht="18" customHeight="1" thickBot="1" x14ac:dyDescent="0.4">
      <c r="A239" s="387"/>
      <c r="B239" s="388"/>
      <c r="C239" s="388"/>
      <c r="D239" s="388"/>
      <c r="E239" s="388"/>
      <c r="F239" s="388"/>
      <c r="G239" s="335" t="e">
        <f>G238/C40</f>
        <v>#DIV/0!</v>
      </c>
      <c r="H239" s="271" t="s">
        <v>243</v>
      </c>
      <c r="I239" s="18"/>
      <c r="J239" s="40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8"/>
      <c r="AP239" s="18"/>
    </row>
    <row r="240" spans="1:42" s="21" customFormat="1" ht="18" customHeight="1" thickBot="1" x14ac:dyDescent="0.4">
      <c r="A240" s="436"/>
      <c r="B240" s="436"/>
      <c r="C240" s="436"/>
      <c r="D240" s="436"/>
      <c r="E240" s="436"/>
      <c r="F240" s="436"/>
      <c r="G240" s="258"/>
      <c r="H240" s="193"/>
      <c r="I240" s="18"/>
      <c r="J240" s="40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  <c r="AN240" s="18"/>
      <c r="AO240" s="18"/>
      <c r="AP240" s="18"/>
    </row>
    <row r="241" spans="1:42" s="21" customFormat="1" ht="18" customHeight="1" x14ac:dyDescent="0.35">
      <c r="A241" s="437" t="s">
        <v>237</v>
      </c>
      <c r="B241" s="438"/>
      <c r="C241" s="438"/>
      <c r="D241" s="438"/>
      <c r="E241" s="438"/>
      <c r="F241" s="438"/>
      <c r="G241" s="383" t="s">
        <v>198</v>
      </c>
      <c r="H241" s="384"/>
      <c r="I241" s="18"/>
      <c r="J241" s="40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  <c r="AN241" s="18"/>
      <c r="AO241" s="18"/>
      <c r="AP241" s="18"/>
    </row>
    <row r="242" spans="1:42" s="93" customFormat="1" ht="18" customHeight="1" x14ac:dyDescent="0.35">
      <c r="A242" s="339" t="s">
        <v>161</v>
      </c>
      <c r="B242" s="340"/>
      <c r="C242" s="340"/>
      <c r="D242" s="340"/>
      <c r="E242" s="340"/>
      <c r="F242" s="340"/>
      <c r="G242" s="215"/>
      <c r="H242" s="37" t="s">
        <v>159</v>
      </c>
      <c r="I242" s="38"/>
      <c r="J242" s="41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8"/>
      <c r="AJ242" s="38"/>
      <c r="AK242" s="38"/>
      <c r="AL242" s="38"/>
      <c r="AM242" s="38"/>
      <c r="AN242" s="38"/>
      <c r="AO242" s="38"/>
      <c r="AP242" s="38"/>
    </row>
    <row r="243" spans="1:42" s="93" customFormat="1" ht="18" customHeight="1" x14ac:dyDescent="0.35">
      <c r="A243" s="385" t="s">
        <v>160</v>
      </c>
      <c r="B243" s="386"/>
      <c r="C243" s="386"/>
      <c r="D243" s="386"/>
      <c r="E243" s="386"/>
      <c r="F243" s="386"/>
      <c r="G243" s="222"/>
      <c r="H243" s="37" t="s">
        <v>159</v>
      </c>
      <c r="I243" s="38"/>
      <c r="J243" s="41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8"/>
      <c r="AN243" s="38"/>
      <c r="AO243" s="38"/>
      <c r="AP243" s="38"/>
    </row>
    <row r="244" spans="1:42" s="93" customFormat="1" ht="18" customHeight="1" x14ac:dyDescent="0.35">
      <c r="A244" s="339" t="s">
        <v>241</v>
      </c>
      <c r="B244" s="340"/>
      <c r="C244" s="439"/>
      <c r="D244" s="439"/>
      <c r="E244" s="439"/>
      <c r="F244" s="440"/>
      <c r="G244" s="215"/>
      <c r="H244" s="257" t="s">
        <v>159</v>
      </c>
      <c r="I244" s="38"/>
      <c r="J244" s="41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8"/>
      <c r="AJ244" s="38"/>
      <c r="AK244" s="38"/>
      <c r="AL244" s="38"/>
      <c r="AM244" s="38"/>
      <c r="AN244" s="38"/>
      <c r="AO244" s="38"/>
      <c r="AP244" s="38"/>
    </row>
    <row r="245" spans="1:42" s="263" customFormat="1" ht="20.149999999999999" customHeight="1" thickBot="1" x14ac:dyDescent="0.4">
      <c r="A245" s="387"/>
      <c r="B245" s="388"/>
      <c r="C245" s="388"/>
      <c r="D245" s="388"/>
      <c r="E245" s="388"/>
      <c r="F245" s="388"/>
      <c r="G245" s="272">
        <f>SUM(G242:G244)</f>
        <v>0</v>
      </c>
      <c r="H245" s="273" t="s">
        <v>159</v>
      </c>
      <c r="I245" s="202"/>
      <c r="J245" s="253"/>
      <c r="K245" s="202"/>
      <c r="L245" s="202"/>
      <c r="M245" s="202"/>
      <c r="N245" s="202"/>
      <c r="O245" s="202"/>
      <c r="P245" s="202"/>
      <c r="Q245" s="202"/>
      <c r="R245" s="202"/>
      <c r="S245" s="202"/>
      <c r="T245" s="202"/>
      <c r="U245" s="202"/>
      <c r="V245" s="202"/>
      <c r="W245" s="202"/>
      <c r="X245" s="202"/>
      <c r="Y245" s="202"/>
      <c r="Z245" s="202"/>
      <c r="AA245" s="202"/>
      <c r="AB245" s="202"/>
      <c r="AC245" s="202"/>
      <c r="AD245" s="202"/>
      <c r="AE245" s="202"/>
      <c r="AF245" s="202"/>
      <c r="AG245" s="202"/>
      <c r="AH245" s="202"/>
      <c r="AI245" s="202"/>
      <c r="AJ245" s="202"/>
      <c r="AK245" s="202"/>
      <c r="AL245" s="202"/>
      <c r="AM245" s="202"/>
      <c r="AN245" s="202"/>
      <c r="AO245" s="202"/>
      <c r="AP245" s="202"/>
    </row>
    <row r="246" spans="1:42" ht="20.149999999999999" customHeight="1" thickBot="1" x14ac:dyDescent="0.4">
      <c r="A246" s="32"/>
      <c r="B246" s="32"/>
      <c r="C246" s="32"/>
      <c r="D246" s="32"/>
      <c r="E246" s="32"/>
      <c r="F246" s="32"/>
      <c r="G246" s="32"/>
      <c r="H246" s="32"/>
    </row>
    <row r="247" spans="1:42" ht="20.149999999999999" customHeight="1" x14ac:dyDescent="0.35">
      <c r="A247" s="356" t="s">
        <v>201</v>
      </c>
      <c r="B247" s="357"/>
      <c r="C247" s="357"/>
      <c r="D247" s="357"/>
      <c r="E247" s="357"/>
      <c r="F247" s="357"/>
      <c r="G247" s="357"/>
      <c r="H247" s="358"/>
    </row>
    <row r="248" spans="1:42" s="93" customFormat="1" ht="18" customHeight="1" x14ac:dyDescent="0.45">
      <c r="A248" s="474" t="s">
        <v>46</v>
      </c>
      <c r="B248" s="475"/>
      <c r="C248" s="475"/>
      <c r="D248" s="475"/>
      <c r="E248" s="475"/>
      <c r="F248" s="475"/>
      <c r="G248" s="475"/>
      <c r="H248" s="116">
        <v>0.9</v>
      </c>
      <c r="I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8"/>
      <c r="AJ248" s="38"/>
      <c r="AK248" s="38"/>
      <c r="AL248" s="38"/>
      <c r="AM248" s="38"/>
      <c r="AN248" s="38"/>
      <c r="AO248" s="38"/>
      <c r="AP248" s="38"/>
    </row>
    <row r="249" spans="1:42" ht="18" customHeight="1" x14ac:dyDescent="0.45">
      <c r="A249" s="418" t="s">
        <v>47</v>
      </c>
      <c r="B249" s="419"/>
      <c r="C249" s="419"/>
      <c r="D249" s="419"/>
      <c r="E249" s="419"/>
      <c r="F249" s="419"/>
      <c r="G249" s="419"/>
      <c r="H249" s="117">
        <v>1.8</v>
      </c>
    </row>
    <row r="250" spans="1:42" ht="18" customHeight="1" x14ac:dyDescent="0.45">
      <c r="A250" s="418" t="s">
        <v>48</v>
      </c>
      <c r="B250" s="419"/>
      <c r="C250" s="419"/>
      <c r="D250" s="419"/>
      <c r="E250" s="419"/>
      <c r="F250" s="419"/>
      <c r="G250" s="419"/>
      <c r="H250" s="117">
        <v>0.7</v>
      </c>
    </row>
    <row r="251" spans="1:42" ht="18" customHeight="1" thickBot="1" x14ac:dyDescent="0.5">
      <c r="A251" s="420" t="s">
        <v>127</v>
      </c>
      <c r="B251" s="421"/>
      <c r="C251" s="421"/>
      <c r="D251" s="421"/>
      <c r="E251" s="421"/>
      <c r="F251" s="421"/>
      <c r="G251" s="421"/>
      <c r="H251" s="118">
        <v>0.6</v>
      </c>
    </row>
    <row r="252" spans="1:42" ht="15" thickBot="1" x14ac:dyDescent="0.4">
      <c r="A252" s="2"/>
      <c r="B252" s="2"/>
      <c r="C252" s="2"/>
      <c r="D252" s="2"/>
      <c r="E252" s="2"/>
      <c r="F252" s="2"/>
      <c r="G252" s="2"/>
      <c r="H252" s="2"/>
    </row>
    <row r="253" spans="1:42" ht="18.5" x14ac:dyDescent="0.35">
      <c r="A253" s="356" t="s">
        <v>199</v>
      </c>
      <c r="B253" s="357"/>
      <c r="C253" s="357"/>
      <c r="D253" s="357"/>
      <c r="E253" s="357"/>
      <c r="F253" s="357"/>
      <c r="G253" s="357"/>
      <c r="H253" s="358"/>
    </row>
    <row r="254" spans="1:42" x14ac:dyDescent="0.35">
      <c r="A254" s="183" t="s">
        <v>200</v>
      </c>
      <c r="B254" s="184"/>
      <c r="C254" s="184"/>
      <c r="D254" s="184" t="s">
        <v>202</v>
      </c>
      <c r="E254" s="397" t="s">
        <v>91</v>
      </c>
      <c r="F254" s="443"/>
      <c r="G254" s="397" t="s">
        <v>31</v>
      </c>
      <c r="H254" s="398"/>
    </row>
    <row r="255" spans="1:42" s="93" customFormat="1" ht="18" customHeight="1" x14ac:dyDescent="0.45">
      <c r="A255" s="187"/>
      <c r="B255" s="188"/>
      <c r="C255" s="188"/>
      <c r="D255" s="208" t="s">
        <v>203</v>
      </c>
      <c r="E255" s="208" t="s">
        <v>159</v>
      </c>
      <c r="F255" s="208" t="s">
        <v>55</v>
      </c>
      <c r="G255" s="208" t="s">
        <v>159</v>
      </c>
      <c r="H255" s="211" t="s">
        <v>55</v>
      </c>
      <c r="I255" s="38"/>
      <c r="J255" s="41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8"/>
      <c r="AJ255" s="38"/>
      <c r="AK255" s="38"/>
      <c r="AL255" s="38"/>
      <c r="AM255" s="38"/>
      <c r="AN255" s="38"/>
      <c r="AO255" s="38"/>
      <c r="AP255" s="38"/>
    </row>
    <row r="256" spans="1:42" x14ac:dyDescent="0.35">
      <c r="A256" s="364" t="s">
        <v>207</v>
      </c>
      <c r="B256" s="365"/>
      <c r="C256" s="366"/>
      <c r="D256" s="268">
        <v>0.7</v>
      </c>
      <c r="E256" s="264">
        <f>E200</f>
        <v>0</v>
      </c>
      <c r="F256" s="217" t="e">
        <f>E256/C40</f>
        <v>#DIV/0!</v>
      </c>
      <c r="G256" s="264">
        <f>G200</f>
        <v>0</v>
      </c>
      <c r="H256" s="221" t="e">
        <f>G256/C40</f>
        <v>#DIV/0!</v>
      </c>
    </row>
    <row r="257" spans="1:42" x14ac:dyDescent="0.35">
      <c r="A257" s="367" t="s">
        <v>208</v>
      </c>
      <c r="B257" s="368"/>
      <c r="C257" s="369"/>
      <c r="D257" s="268">
        <v>0.7</v>
      </c>
      <c r="E257" s="264">
        <f>E208</f>
        <v>0</v>
      </c>
      <c r="F257" s="217" t="e">
        <f>E257/C40</f>
        <v>#DIV/0!</v>
      </c>
      <c r="G257" s="264">
        <f>G208</f>
        <v>0</v>
      </c>
      <c r="H257" s="221" t="e">
        <f>G257/C40</f>
        <v>#DIV/0!</v>
      </c>
    </row>
    <row r="258" spans="1:42" s="267" customFormat="1" x14ac:dyDescent="0.35">
      <c r="A258" s="370" t="s">
        <v>205</v>
      </c>
      <c r="B258" s="371"/>
      <c r="C258" s="372"/>
      <c r="D258" s="269">
        <v>0.7</v>
      </c>
      <c r="E258" s="266">
        <f>-G245</f>
        <v>0</v>
      </c>
      <c r="F258" s="217" t="e">
        <f>E258/C40</f>
        <v>#DIV/0!</v>
      </c>
      <c r="G258" s="266">
        <f>-G245</f>
        <v>0</v>
      </c>
      <c r="H258" s="221" t="e">
        <f>G258/C40</f>
        <v>#DIV/0!</v>
      </c>
      <c r="I258" s="265"/>
      <c r="J258" s="265"/>
      <c r="K258" s="265"/>
      <c r="L258" s="265"/>
      <c r="M258" s="265"/>
      <c r="N258" s="265"/>
      <c r="O258" s="265"/>
      <c r="P258" s="265"/>
      <c r="Q258" s="265"/>
      <c r="R258" s="265"/>
      <c r="S258" s="265"/>
      <c r="T258" s="265"/>
      <c r="U258" s="265"/>
      <c r="V258" s="265"/>
      <c r="W258" s="265"/>
      <c r="X258" s="265"/>
      <c r="Y258" s="265"/>
      <c r="Z258" s="265"/>
      <c r="AA258" s="265"/>
      <c r="AB258" s="265"/>
      <c r="AC258" s="265"/>
      <c r="AD258" s="265"/>
      <c r="AE258" s="265"/>
      <c r="AF258" s="265"/>
      <c r="AG258" s="265"/>
      <c r="AH258" s="265"/>
      <c r="AI258" s="265"/>
      <c r="AJ258" s="265"/>
      <c r="AK258" s="265"/>
      <c r="AL258" s="265"/>
      <c r="AM258" s="265"/>
      <c r="AN258" s="265"/>
      <c r="AO258" s="265"/>
      <c r="AP258" s="265"/>
    </row>
    <row r="259" spans="1:42" x14ac:dyDescent="0.35">
      <c r="A259" s="367" t="s">
        <v>209</v>
      </c>
      <c r="B259" s="368"/>
      <c r="C259" s="369"/>
      <c r="D259" s="332">
        <v>1.8</v>
      </c>
      <c r="E259" s="264">
        <f>E219</f>
        <v>0</v>
      </c>
      <c r="F259" s="217" t="e">
        <f>E259/C40</f>
        <v>#DIV/0!</v>
      </c>
      <c r="G259" s="264">
        <f>G219</f>
        <v>0</v>
      </c>
      <c r="H259" s="221" t="e">
        <f>G259/C40</f>
        <v>#DIV/0!</v>
      </c>
    </row>
    <row r="260" spans="1:42" ht="15" thickBot="1" x14ac:dyDescent="0.4">
      <c r="A260" s="373" t="s">
        <v>206</v>
      </c>
      <c r="B260" s="374"/>
      <c r="C260" s="375"/>
      <c r="D260" s="332">
        <v>1.8</v>
      </c>
      <c r="E260" s="274">
        <f>-G235</f>
        <v>0</v>
      </c>
      <c r="F260" s="275" t="e">
        <f>E260/C40</f>
        <v>#DIV/0!</v>
      </c>
      <c r="G260" s="274">
        <f>-G235</f>
        <v>0</v>
      </c>
      <c r="H260" s="276" t="e">
        <f>G260/C40</f>
        <v>#DIV/0!</v>
      </c>
    </row>
    <row r="261" spans="1:42" s="21" customFormat="1" ht="15" thickTop="1" x14ac:dyDescent="0.35">
      <c r="A261" s="380" t="s">
        <v>210</v>
      </c>
      <c r="B261" s="381"/>
      <c r="C261" s="381"/>
      <c r="D261" s="381"/>
      <c r="E261" s="381"/>
      <c r="F261" s="382"/>
      <c r="G261" s="280">
        <f>SUM(G256:G260)</f>
        <v>0</v>
      </c>
      <c r="H261" s="281" t="e">
        <f>SUM(H256:H260)</f>
        <v>#DIV/0!</v>
      </c>
      <c r="I261" s="18"/>
      <c r="J261" s="40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  <c r="AN261" s="18"/>
      <c r="AO261" s="18"/>
      <c r="AP261" s="18"/>
    </row>
    <row r="262" spans="1:42" s="21" customFormat="1" ht="17" thickBot="1" x14ac:dyDescent="0.5">
      <c r="A262" s="378" t="s">
        <v>220</v>
      </c>
      <c r="B262" s="379"/>
      <c r="C262" s="379"/>
      <c r="D262" s="285"/>
      <c r="E262" s="285"/>
      <c r="F262" s="286" t="e">
        <f>(F256/H248*D256+F257*D257+F258*D258+F259*D259+F260*D260)</f>
        <v>#DIV/0!</v>
      </c>
      <c r="G262" s="376"/>
      <c r="H262" s="377"/>
      <c r="I262" s="18"/>
      <c r="J262" s="40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8"/>
      <c r="AH262" s="18"/>
      <c r="AI262" s="18"/>
      <c r="AJ262" s="18"/>
      <c r="AK262" s="18"/>
      <c r="AL262" s="18"/>
      <c r="AM262" s="18"/>
      <c r="AN262" s="18"/>
      <c r="AO262" s="18"/>
      <c r="AP262" s="18"/>
    </row>
    <row r="263" spans="1:42" s="252" customFormat="1" x14ac:dyDescent="0.35">
      <c r="A263" s="277"/>
      <c r="B263" s="277"/>
      <c r="C263" s="277"/>
      <c r="D263" s="277"/>
      <c r="E263" s="277"/>
      <c r="F263" s="278"/>
      <c r="G263" s="279"/>
      <c r="H263" s="278"/>
      <c r="I263" s="251"/>
      <c r="J263" s="39"/>
      <c r="K263" s="251"/>
      <c r="L263" s="251"/>
      <c r="M263" s="251"/>
      <c r="N263" s="251"/>
      <c r="O263" s="251"/>
      <c r="P263" s="251"/>
      <c r="Q263" s="251"/>
      <c r="R263" s="251"/>
      <c r="S263" s="251"/>
      <c r="T263" s="251"/>
      <c r="U263" s="251"/>
      <c r="V263" s="251"/>
      <c r="W263" s="251"/>
      <c r="X263" s="251"/>
      <c r="Y263" s="251"/>
      <c r="Z263" s="251"/>
      <c r="AA263" s="251"/>
      <c r="AB263" s="251"/>
      <c r="AC263" s="251"/>
      <c r="AD263" s="251"/>
      <c r="AE263" s="251"/>
      <c r="AF263" s="251"/>
      <c r="AG263" s="251"/>
      <c r="AH263" s="251"/>
      <c r="AI263" s="251"/>
      <c r="AJ263" s="251"/>
      <c r="AK263" s="251"/>
      <c r="AL263" s="251"/>
      <c r="AM263" s="251"/>
      <c r="AN263" s="251"/>
      <c r="AO263" s="251"/>
      <c r="AP263" s="251"/>
    </row>
    <row r="264" spans="1:42" x14ac:dyDescent="0.35">
      <c r="A264" s="2"/>
      <c r="B264" s="2"/>
      <c r="C264" s="2"/>
      <c r="D264" s="2"/>
      <c r="E264" s="2"/>
      <c r="F264" s="2"/>
      <c r="G264" s="2"/>
      <c r="H264" s="2"/>
    </row>
    <row r="265" spans="1:42" ht="20.149999999999999" customHeight="1" x14ac:dyDescent="0.35">
      <c r="A265" s="15" t="s">
        <v>194</v>
      </c>
      <c r="B265" s="2"/>
      <c r="C265" s="2"/>
      <c r="D265" s="2"/>
      <c r="E265" s="2"/>
      <c r="F265" s="2"/>
      <c r="G265" s="2"/>
      <c r="H265" s="2"/>
    </row>
    <row r="266" spans="1:42" ht="20.149999999999999" customHeight="1" thickBot="1" x14ac:dyDescent="0.4">
      <c r="A266" s="15"/>
      <c r="B266" s="2"/>
      <c r="C266" s="2"/>
      <c r="D266" s="2"/>
      <c r="E266" s="2"/>
      <c r="F266" s="2"/>
      <c r="G266" s="2"/>
      <c r="H266" s="2"/>
    </row>
    <row r="267" spans="1:42" ht="18.5" x14ac:dyDescent="0.35">
      <c r="A267" s="356" t="s">
        <v>195</v>
      </c>
      <c r="B267" s="357"/>
      <c r="C267" s="357"/>
      <c r="D267" s="357"/>
      <c r="E267" s="357"/>
      <c r="F267" s="357"/>
      <c r="G267" s="357"/>
      <c r="H267" s="358"/>
    </row>
    <row r="268" spans="1:42" s="93" customFormat="1" ht="18" customHeight="1" x14ac:dyDescent="0.35">
      <c r="A268" s="187"/>
      <c r="B268" s="188"/>
      <c r="C268" s="188"/>
      <c r="D268" s="188"/>
      <c r="E268" s="188"/>
      <c r="F268" s="208" t="s">
        <v>222</v>
      </c>
      <c r="G268" s="208" t="s">
        <v>223</v>
      </c>
      <c r="H268" s="211" t="s">
        <v>221</v>
      </c>
      <c r="I268" s="38"/>
      <c r="J268" s="41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8"/>
      <c r="AJ268" s="38"/>
      <c r="AK268" s="38"/>
      <c r="AL268" s="38"/>
      <c r="AM268" s="38"/>
      <c r="AN268" s="38"/>
      <c r="AO268" s="38"/>
      <c r="AP268" s="38"/>
    </row>
    <row r="269" spans="1:42" s="93" customFormat="1" ht="18" customHeight="1" x14ac:dyDescent="0.45">
      <c r="A269" s="349" t="s">
        <v>5</v>
      </c>
      <c r="B269" s="422" t="s">
        <v>224</v>
      </c>
      <c r="C269" s="422"/>
      <c r="D269" s="422"/>
      <c r="E269" s="422"/>
      <c r="F269" s="299">
        <v>70</v>
      </c>
      <c r="G269" s="300" t="s">
        <v>179</v>
      </c>
      <c r="H269" s="301" t="e">
        <f>F262</f>
        <v>#DIV/0!</v>
      </c>
      <c r="I269" s="38"/>
      <c r="J269" s="224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8"/>
      <c r="AJ269" s="38"/>
      <c r="AK269" s="38"/>
      <c r="AL269" s="38"/>
      <c r="AM269" s="38"/>
      <c r="AN269" s="38"/>
      <c r="AO269" s="38"/>
      <c r="AP269" s="38"/>
    </row>
    <row r="270" spans="1:42" s="93" customFormat="1" ht="18" customHeight="1" x14ac:dyDescent="0.45">
      <c r="A270" s="350"/>
      <c r="B270" s="445" t="s">
        <v>240</v>
      </c>
      <c r="C270" s="445"/>
      <c r="D270" s="445"/>
      <c r="E270" s="445"/>
      <c r="F270" s="298"/>
      <c r="G270" s="298"/>
      <c r="H270" s="301" t="e">
        <f>F256/H248*D256+F257*D257+F258*D258</f>
        <v>#DIV/0!</v>
      </c>
      <c r="I270" s="38"/>
      <c r="J270" s="224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8"/>
      <c r="AJ270" s="38"/>
      <c r="AK270" s="38"/>
      <c r="AL270" s="38"/>
      <c r="AM270" s="38"/>
      <c r="AN270" s="38"/>
      <c r="AO270" s="38"/>
      <c r="AP270" s="38"/>
    </row>
    <row r="271" spans="1:42" s="93" customFormat="1" ht="18" customHeight="1" thickBot="1" x14ac:dyDescent="0.5">
      <c r="A271" s="350"/>
      <c r="B271" s="445" t="s">
        <v>239</v>
      </c>
      <c r="C271" s="445"/>
      <c r="D271" s="445"/>
      <c r="E271" s="445"/>
      <c r="F271" s="331"/>
      <c r="G271" s="331"/>
      <c r="H271" s="301" t="e">
        <f>(F259+F260)*H249</f>
        <v>#DIV/0!</v>
      </c>
      <c r="I271" s="38"/>
      <c r="J271" s="225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8"/>
      <c r="AJ271" s="38"/>
      <c r="AK271" s="38"/>
      <c r="AL271" s="38"/>
      <c r="AM271" s="38"/>
      <c r="AN271" s="38"/>
      <c r="AO271" s="38"/>
      <c r="AP271" s="38"/>
    </row>
    <row r="272" spans="1:42" s="93" customFormat="1" ht="18" customHeight="1" thickBot="1" x14ac:dyDescent="0.5">
      <c r="A272" s="313" t="s">
        <v>43</v>
      </c>
      <c r="B272" s="417" t="s">
        <v>225</v>
      </c>
      <c r="C272" s="417"/>
      <c r="D272" s="417"/>
      <c r="E272" s="417"/>
      <c r="F272" s="314"/>
      <c r="G272" s="315"/>
      <c r="H272" s="316"/>
      <c r="I272" s="38"/>
      <c r="J272" s="224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8"/>
      <c r="AJ272" s="38"/>
      <c r="AK272" s="38"/>
      <c r="AL272" s="38"/>
      <c r="AM272" s="38"/>
      <c r="AN272" s="38"/>
      <c r="AO272" s="38"/>
      <c r="AP272" s="38"/>
    </row>
    <row r="273" spans="1:42" ht="18" customHeight="1" thickBot="1" x14ac:dyDescent="0.5">
      <c r="A273" s="296" t="s">
        <v>6</v>
      </c>
      <c r="B273" s="444" t="s">
        <v>226</v>
      </c>
      <c r="C273" s="444"/>
      <c r="D273" s="444"/>
      <c r="E273" s="444"/>
      <c r="F273" s="317">
        <v>0.5</v>
      </c>
      <c r="G273" s="297"/>
      <c r="H273" s="318">
        <f>G30</f>
        <v>0</v>
      </c>
      <c r="J273" s="224"/>
    </row>
    <row r="274" spans="1:42" s="93" customFormat="1" ht="18" customHeight="1" thickBot="1" x14ac:dyDescent="0.4">
      <c r="A274" s="2"/>
      <c r="B274" s="2"/>
      <c r="C274" s="2"/>
      <c r="D274" s="2"/>
      <c r="E274" s="2"/>
      <c r="F274" s="2"/>
      <c r="G274" s="2"/>
      <c r="H274" s="2"/>
      <c r="I274" s="38"/>
      <c r="J274" s="41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8"/>
      <c r="AJ274" s="38"/>
      <c r="AK274" s="38"/>
      <c r="AL274" s="38"/>
      <c r="AM274" s="38"/>
      <c r="AN274" s="38"/>
      <c r="AO274" s="38"/>
      <c r="AP274" s="38"/>
    </row>
    <row r="275" spans="1:42" ht="18.5" x14ac:dyDescent="0.35">
      <c r="A275" s="356" t="s">
        <v>196</v>
      </c>
      <c r="B275" s="357"/>
      <c r="C275" s="357"/>
      <c r="D275" s="357"/>
      <c r="E275" s="357"/>
      <c r="F275" s="357"/>
      <c r="G275" s="357"/>
      <c r="H275" s="358"/>
    </row>
    <row r="276" spans="1:42" s="93" customFormat="1" ht="18" customHeight="1" x14ac:dyDescent="0.35">
      <c r="A276" s="294"/>
      <c r="B276" s="292"/>
      <c r="C276" s="292"/>
      <c r="D276" s="292"/>
      <c r="E276" s="292"/>
      <c r="F276" s="292"/>
      <c r="G276" s="293" t="s">
        <v>223</v>
      </c>
      <c r="H276" s="295" t="s">
        <v>221</v>
      </c>
      <c r="I276" s="38"/>
      <c r="J276" s="41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8"/>
      <c r="AJ276" s="38"/>
      <c r="AK276" s="38"/>
      <c r="AL276" s="38"/>
      <c r="AM276" s="38"/>
      <c r="AN276" s="38"/>
      <c r="AO276" s="38"/>
      <c r="AP276" s="38"/>
    </row>
    <row r="277" spans="1:42" s="93" customFormat="1" ht="18" customHeight="1" x14ac:dyDescent="0.35">
      <c r="A277" s="350" t="s">
        <v>5</v>
      </c>
      <c r="B277" s="570" t="s">
        <v>227</v>
      </c>
      <c r="C277" s="570"/>
      <c r="D277" s="570"/>
      <c r="E277" s="570"/>
      <c r="F277" s="571"/>
      <c r="G277" s="304"/>
      <c r="H277" s="320" t="e">
        <f>H261</f>
        <v>#DIV/0!</v>
      </c>
      <c r="I277" s="38"/>
      <c r="J277" s="41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8"/>
      <c r="AJ277" s="38"/>
      <c r="AK277" s="38"/>
      <c r="AL277" s="38"/>
      <c r="AM277" s="38"/>
      <c r="AN277" s="38"/>
      <c r="AO277" s="38"/>
      <c r="AP277" s="38"/>
    </row>
    <row r="278" spans="1:42" ht="18" customHeight="1" x14ac:dyDescent="0.35">
      <c r="A278" s="350"/>
      <c r="B278" s="579" t="s">
        <v>234</v>
      </c>
      <c r="C278" s="579"/>
      <c r="D278" s="579"/>
      <c r="E278" s="579"/>
      <c r="F278" s="580"/>
      <c r="G278" s="305"/>
      <c r="H278" s="320" t="e">
        <f>H256+H257+H258</f>
        <v>#DIV/0!</v>
      </c>
    </row>
    <row r="279" spans="1:42" ht="18" customHeight="1" thickBot="1" x14ac:dyDescent="0.4">
      <c r="A279" s="352"/>
      <c r="B279" s="581" t="s">
        <v>235</v>
      </c>
      <c r="C279" s="581"/>
      <c r="D279" s="581"/>
      <c r="E279" s="581"/>
      <c r="F279" s="582"/>
      <c r="G279" s="306"/>
      <c r="H279" s="321" t="e">
        <f>H259+H260</f>
        <v>#DIV/0!</v>
      </c>
    </row>
    <row r="280" spans="1:42" ht="18" customHeight="1" thickBot="1" x14ac:dyDescent="0.4">
      <c r="A280" s="319" t="s">
        <v>43</v>
      </c>
      <c r="B280" s="417" t="s">
        <v>228</v>
      </c>
      <c r="C280" s="417"/>
      <c r="D280" s="417"/>
      <c r="E280" s="417"/>
      <c r="F280" s="578"/>
      <c r="G280" s="307">
        <v>15</v>
      </c>
      <c r="H280" s="322"/>
    </row>
    <row r="281" spans="1:42" ht="18" customHeight="1" x14ac:dyDescent="0.45">
      <c r="A281" s="351" t="s">
        <v>7</v>
      </c>
      <c r="B281" s="583" t="s">
        <v>232</v>
      </c>
      <c r="C281" s="583"/>
      <c r="D281" s="583"/>
      <c r="E281" s="583"/>
      <c r="F281" s="584"/>
      <c r="G281" s="311"/>
      <c r="H281" s="302"/>
    </row>
    <row r="282" spans="1:42" ht="18" customHeight="1" thickBot="1" x14ac:dyDescent="0.5">
      <c r="A282" s="352"/>
      <c r="B282" s="585" t="s">
        <v>233</v>
      </c>
      <c r="C282" s="585"/>
      <c r="D282" s="585"/>
      <c r="E282" s="585"/>
      <c r="F282" s="586"/>
      <c r="G282" s="310"/>
      <c r="H282" s="303"/>
    </row>
    <row r="283" spans="1:42" ht="18" customHeight="1" x14ac:dyDescent="0.35">
      <c r="A283" s="351" t="s">
        <v>213</v>
      </c>
      <c r="B283" s="446" t="s">
        <v>231</v>
      </c>
      <c r="C283" s="446"/>
      <c r="D283" s="446"/>
      <c r="E283" s="446"/>
      <c r="F283" s="447"/>
      <c r="G283" s="308" t="s">
        <v>229</v>
      </c>
      <c r="H283" s="302"/>
    </row>
    <row r="284" spans="1:42" ht="18" customHeight="1" thickBot="1" x14ac:dyDescent="0.4">
      <c r="A284" s="352"/>
      <c r="B284" s="574" t="s">
        <v>230</v>
      </c>
      <c r="C284" s="574"/>
      <c r="D284" s="574"/>
      <c r="E284" s="574"/>
      <c r="F284" s="575"/>
      <c r="G284" s="312"/>
      <c r="H284" s="309"/>
    </row>
    <row r="285" spans="1:42" x14ac:dyDescent="0.35">
      <c r="A285" s="2"/>
      <c r="B285" s="2"/>
      <c r="C285" s="2"/>
      <c r="D285" s="2"/>
      <c r="E285" s="2"/>
      <c r="F285" s="2"/>
      <c r="G285" s="2"/>
      <c r="H285" s="2"/>
    </row>
    <row r="286" spans="1:42" x14ac:dyDescent="0.35">
      <c r="A286" s="35"/>
      <c r="B286" s="33"/>
      <c r="C286" s="33"/>
      <c r="D286" s="33"/>
      <c r="E286" s="33"/>
      <c r="F286" s="33"/>
      <c r="G286" s="33"/>
      <c r="H286" s="33"/>
    </row>
    <row r="287" spans="1:42" x14ac:dyDescent="0.35">
      <c r="A287" s="2"/>
      <c r="B287" s="2"/>
      <c r="C287" s="2"/>
      <c r="D287" s="2"/>
      <c r="E287" s="2"/>
      <c r="F287" s="2"/>
      <c r="G287" s="2"/>
      <c r="H287" s="2"/>
    </row>
    <row r="288" spans="1:42" x14ac:dyDescent="0.35">
      <c r="A288" s="2"/>
      <c r="B288" s="2"/>
      <c r="C288" s="2"/>
      <c r="D288" s="2"/>
      <c r="E288" s="2"/>
      <c r="F288" s="2"/>
      <c r="G288" s="2"/>
      <c r="H288" s="2"/>
    </row>
    <row r="289" spans="1:8" x14ac:dyDescent="0.35">
      <c r="A289" s="2"/>
      <c r="B289" s="2"/>
      <c r="C289" s="2"/>
      <c r="D289" s="2"/>
      <c r="E289" s="2"/>
      <c r="F289" s="2"/>
      <c r="G289" s="2"/>
      <c r="H289" s="2"/>
    </row>
    <row r="290" spans="1:8" x14ac:dyDescent="0.35">
      <c r="A290" s="2"/>
      <c r="B290" s="2"/>
      <c r="C290" s="2"/>
      <c r="D290" s="2"/>
      <c r="E290" s="2"/>
      <c r="F290" s="2"/>
      <c r="G290" s="2"/>
      <c r="H290" s="2"/>
    </row>
    <row r="291" spans="1:8" hidden="1" x14ac:dyDescent="0.35">
      <c r="A291" s="2"/>
      <c r="B291" s="2"/>
      <c r="C291" s="2"/>
      <c r="D291" s="2"/>
      <c r="E291" s="2"/>
      <c r="F291" s="2"/>
      <c r="G291" s="2"/>
      <c r="H291" s="2"/>
    </row>
    <row r="292" spans="1:8" hidden="1" x14ac:dyDescent="0.35">
      <c r="A292" s="2"/>
      <c r="B292" s="2"/>
      <c r="C292" s="2"/>
      <c r="D292" s="2"/>
      <c r="E292" s="2"/>
      <c r="F292" s="2"/>
      <c r="G292" s="2"/>
      <c r="H292" s="2"/>
    </row>
    <row r="293" spans="1:8" hidden="1" x14ac:dyDescent="0.35">
      <c r="A293" s="2"/>
      <c r="B293" s="254" t="s">
        <v>179</v>
      </c>
      <c r="C293" s="2"/>
      <c r="D293" s="2"/>
      <c r="E293" s="2"/>
      <c r="F293" s="2"/>
      <c r="G293" s="2"/>
      <c r="H293" s="2"/>
    </row>
    <row r="294" spans="1:8" hidden="1" x14ac:dyDescent="0.35">
      <c r="A294" s="102"/>
      <c r="B294" s="45" t="s">
        <v>0</v>
      </c>
      <c r="C294" s="2"/>
      <c r="D294" s="2"/>
      <c r="E294" s="2"/>
      <c r="F294" s="2"/>
      <c r="G294" s="2"/>
      <c r="H294" s="2"/>
    </row>
    <row r="295" spans="1:8" hidden="1" x14ac:dyDescent="0.35">
      <c r="A295" s="102"/>
      <c r="B295" s="45" t="s">
        <v>1</v>
      </c>
      <c r="C295" s="2"/>
      <c r="D295" s="2"/>
      <c r="E295" s="2"/>
      <c r="F295" s="2"/>
      <c r="G295" s="2"/>
      <c r="H295" s="2"/>
    </row>
    <row r="296" spans="1:8" hidden="1" x14ac:dyDescent="0.35">
      <c r="A296" s="102"/>
      <c r="B296" s="45" t="s">
        <v>2</v>
      </c>
      <c r="C296" s="2"/>
      <c r="D296" s="2"/>
      <c r="E296" s="2"/>
      <c r="F296" s="2"/>
      <c r="G296" s="2"/>
      <c r="H296" s="2"/>
    </row>
    <row r="297" spans="1:8" hidden="1" x14ac:dyDescent="0.35">
      <c r="A297" s="102"/>
      <c r="B297" s="45" t="s">
        <v>3</v>
      </c>
      <c r="C297" s="2"/>
      <c r="D297" s="2"/>
      <c r="E297" s="2"/>
      <c r="F297" s="2"/>
      <c r="G297" s="2"/>
      <c r="H297" s="2"/>
    </row>
    <row r="298" spans="1:8" hidden="1" x14ac:dyDescent="0.35">
      <c r="A298" s="102"/>
      <c r="B298" s="46" t="s">
        <v>45</v>
      </c>
      <c r="C298" s="2"/>
      <c r="D298" s="2"/>
      <c r="E298" s="2"/>
      <c r="F298" s="2"/>
      <c r="G298" s="2"/>
      <c r="H298" s="2"/>
    </row>
    <row r="299" spans="1:8" hidden="1" x14ac:dyDescent="0.35">
      <c r="A299" s="102"/>
      <c r="B299" s="254" t="s">
        <v>179</v>
      </c>
      <c r="C299" s="2"/>
      <c r="D299" s="2"/>
      <c r="E299" s="2"/>
      <c r="F299" s="2"/>
      <c r="G299" s="2"/>
      <c r="H299" s="2"/>
    </row>
    <row r="300" spans="1:8" hidden="1" x14ac:dyDescent="0.35">
      <c r="A300" s="102"/>
      <c r="B300" s="45" t="s">
        <v>54</v>
      </c>
      <c r="C300" s="2"/>
      <c r="D300" s="2"/>
      <c r="E300" s="2"/>
      <c r="F300" s="2"/>
      <c r="G300" s="2"/>
      <c r="H300" s="2"/>
    </row>
    <row r="301" spans="1:8" hidden="1" x14ac:dyDescent="0.35">
      <c r="A301" s="102"/>
      <c r="B301" s="46" t="s">
        <v>62</v>
      </c>
      <c r="C301" s="2"/>
      <c r="D301" s="2"/>
      <c r="E301" s="2"/>
      <c r="F301" s="2"/>
      <c r="G301" s="2"/>
      <c r="H301" s="2"/>
    </row>
    <row r="302" spans="1:8" hidden="1" x14ac:dyDescent="0.35">
      <c r="A302" s="102"/>
      <c r="B302" s="40"/>
      <c r="C302" s="2"/>
      <c r="D302" s="2"/>
      <c r="E302" s="2"/>
      <c r="F302" s="2"/>
      <c r="G302" s="2"/>
      <c r="H302" s="2"/>
    </row>
    <row r="303" spans="1:8" hidden="1" x14ac:dyDescent="0.35">
      <c r="A303" s="102"/>
      <c r="B303" s="69" t="s">
        <v>79</v>
      </c>
      <c r="C303" s="2"/>
      <c r="D303" s="2"/>
      <c r="E303" s="2"/>
      <c r="F303" s="2"/>
      <c r="G303" s="2"/>
      <c r="H303" s="2"/>
    </row>
    <row r="304" spans="1:8" hidden="1" x14ac:dyDescent="0.35">
      <c r="A304" s="102"/>
      <c r="B304" s="254" t="s">
        <v>179</v>
      </c>
      <c r="C304" s="2"/>
      <c r="D304" s="2"/>
      <c r="E304" s="2"/>
      <c r="F304" s="2"/>
      <c r="G304" s="2"/>
      <c r="H304" s="2"/>
    </row>
    <row r="305" spans="1:42" hidden="1" x14ac:dyDescent="0.35">
      <c r="A305" s="102"/>
      <c r="B305" s="255" t="s">
        <v>78</v>
      </c>
      <c r="C305" s="2"/>
      <c r="D305" s="2"/>
      <c r="E305" s="2"/>
      <c r="F305" s="2"/>
      <c r="G305" s="2"/>
      <c r="H305" s="2"/>
    </row>
    <row r="306" spans="1:42" hidden="1" x14ac:dyDescent="0.35">
      <c r="A306" s="2"/>
      <c r="B306" s="46" t="s">
        <v>62</v>
      </c>
      <c r="C306" s="2"/>
      <c r="D306" s="2"/>
      <c r="E306" s="2"/>
      <c r="F306" s="2"/>
      <c r="G306" s="2"/>
      <c r="H306" s="2"/>
    </row>
    <row r="307" spans="1:42" hidden="1" x14ac:dyDescent="0.35">
      <c r="A307" s="2"/>
      <c r="B307" s="2"/>
      <c r="C307" s="2"/>
      <c r="D307" s="2"/>
      <c r="E307" s="2"/>
      <c r="F307" s="2"/>
      <c r="G307" s="2"/>
      <c r="H307" s="2"/>
    </row>
    <row r="308" spans="1:42" hidden="1" x14ac:dyDescent="0.35">
      <c r="A308" s="2"/>
      <c r="B308" s="2"/>
      <c r="C308" s="2"/>
      <c r="D308" s="2"/>
      <c r="E308" s="2"/>
      <c r="F308" s="2"/>
      <c r="G308" s="2"/>
      <c r="H308" s="2"/>
    </row>
    <row r="309" spans="1:42" hidden="1" x14ac:dyDescent="0.35">
      <c r="A309" s="2"/>
      <c r="B309" s="47" t="s">
        <v>80</v>
      </c>
      <c r="C309" s="2"/>
      <c r="D309" s="2"/>
      <c r="E309" s="2"/>
      <c r="F309" s="2"/>
      <c r="G309" s="2"/>
      <c r="H309" s="2"/>
    </row>
    <row r="310" spans="1:42" s="252" customFormat="1" hidden="1" x14ac:dyDescent="0.35">
      <c r="A310" s="251"/>
      <c r="B310" s="254" t="s">
        <v>179</v>
      </c>
      <c r="C310" s="251"/>
      <c r="D310" s="251"/>
      <c r="E310" s="251"/>
      <c r="F310" s="251"/>
      <c r="G310" s="251"/>
      <c r="H310" s="251"/>
      <c r="I310" s="251"/>
      <c r="J310" s="39"/>
      <c r="K310" s="251"/>
      <c r="L310" s="251"/>
      <c r="M310" s="251"/>
      <c r="N310" s="251"/>
      <c r="O310" s="251"/>
      <c r="P310" s="251"/>
      <c r="Q310" s="251"/>
      <c r="R310" s="251"/>
      <c r="S310" s="251"/>
      <c r="T310" s="251"/>
      <c r="U310" s="251"/>
      <c r="V310" s="251"/>
      <c r="W310" s="251"/>
      <c r="X310" s="251"/>
      <c r="Y310" s="251"/>
      <c r="Z310" s="251"/>
      <c r="AA310" s="251"/>
      <c r="AB310" s="251"/>
      <c r="AC310" s="251"/>
      <c r="AD310" s="251"/>
      <c r="AE310" s="251"/>
      <c r="AF310" s="251"/>
      <c r="AG310" s="251"/>
      <c r="AH310" s="251"/>
      <c r="AI310" s="251"/>
      <c r="AJ310" s="251"/>
      <c r="AK310" s="251"/>
      <c r="AL310" s="251"/>
      <c r="AM310" s="251"/>
      <c r="AN310" s="251"/>
      <c r="AO310" s="251"/>
      <c r="AP310" s="251"/>
    </row>
    <row r="311" spans="1:42" hidden="1" x14ac:dyDescent="0.35">
      <c r="A311" s="2"/>
      <c r="B311" s="45" t="s">
        <v>71</v>
      </c>
      <c r="C311" s="2"/>
      <c r="D311" s="2"/>
      <c r="E311" s="2"/>
      <c r="F311" s="2"/>
      <c r="G311" s="2"/>
      <c r="H311" s="2"/>
    </row>
    <row r="312" spans="1:42" hidden="1" x14ac:dyDescent="0.35">
      <c r="A312" s="2"/>
      <c r="B312" s="46" t="s">
        <v>62</v>
      </c>
      <c r="C312" s="2"/>
      <c r="D312" s="2"/>
      <c r="E312" s="2"/>
      <c r="F312" s="2"/>
      <c r="G312" s="2"/>
      <c r="H312" s="2"/>
    </row>
    <row r="313" spans="1:42" hidden="1" x14ac:dyDescent="0.35">
      <c r="A313" s="2"/>
      <c r="B313" s="239"/>
      <c r="C313" s="2"/>
      <c r="D313" s="2"/>
      <c r="E313" s="2"/>
      <c r="F313" s="2"/>
      <c r="G313" s="2"/>
      <c r="H313" s="2"/>
    </row>
    <row r="314" spans="1:42" hidden="1" x14ac:dyDescent="0.35">
      <c r="A314" s="2"/>
      <c r="B314" s="254" t="s">
        <v>179</v>
      </c>
      <c r="C314" s="2"/>
      <c r="D314" s="2"/>
      <c r="E314" s="2"/>
      <c r="F314" s="2"/>
      <c r="G314" s="2"/>
      <c r="H314" s="2"/>
    </row>
    <row r="315" spans="1:42" hidden="1" x14ac:dyDescent="0.35">
      <c r="A315" s="2"/>
      <c r="B315" s="45" t="s">
        <v>72</v>
      </c>
      <c r="C315" s="2"/>
      <c r="D315" s="2"/>
      <c r="E315" s="2"/>
      <c r="F315" s="2"/>
      <c r="G315" s="2"/>
      <c r="H315" s="2"/>
    </row>
    <row r="316" spans="1:42" hidden="1" x14ac:dyDescent="0.35">
      <c r="A316" s="2"/>
      <c r="B316" s="46" t="s">
        <v>62</v>
      </c>
      <c r="C316" s="2"/>
      <c r="D316" s="2"/>
      <c r="E316" s="2"/>
      <c r="F316" s="2"/>
      <c r="G316" s="2"/>
      <c r="H316" s="2"/>
    </row>
    <row r="317" spans="1:42" hidden="1" x14ac:dyDescent="0.35">
      <c r="A317" s="2"/>
      <c r="B317" s="239"/>
      <c r="C317" s="2"/>
      <c r="D317" s="2"/>
      <c r="E317" s="2"/>
      <c r="F317" s="2"/>
      <c r="G317" s="2"/>
      <c r="H317" s="2"/>
    </row>
    <row r="318" spans="1:42" hidden="1" x14ac:dyDescent="0.35">
      <c r="A318" s="2"/>
      <c r="B318" s="44" t="s">
        <v>180</v>
      </c>
      <c r="C318" s="2"/>
      <c r="D318" s="2"/>
      <c r="E318" s="2"/>
      <c r="F318" s="2"/>
      <c r="G318" s="2"/>
      <c r="H318" s="2"/>
    </row>
    <row r="319" spans="1:42" hidden="1" x14ac:dyDescent="0.35">
      <c r="A319" s="2"/>
      <c r="B319" s="45" t="s">
        <v>170</v>
      </c>
      <c r="C319" s="2"/>
      <c r="D319" s="2"/>
      <c r="E319" s="2"/>
      <c r="F319" s="2"/>
      <c r="G319" s="2"/>
      <c r="H319" s="2"/>
    </row>
    <row r="320" spans="1:42" hidden="1" x14ac:dyDescent="0.35">
      <c r="A320" s="2"/>
      <c r="B320" s="45" t="s">
        <v>171</v>
      </c>
      <c r="C320" s="2"/>
      <c r="D320" s="2"/>
      <c r="E320" s="2"/>
      <c r="F320" s="2"/>
      <c r="G320" s="2"/>
      <c r="H320" s="2"/>
    </row>
    <row r="321" spans="1:8" hidden="1" x14ac:dyDescent="0.35">
      <c r="A321" s="2"/>
      <c r="B321" s="46" t="s">
        <v>172</v>
      </c>
      <c r="C321" s="2"/>
      <c r="D321" s="2"/>
      <c r="E321" s="2"/>
      <c r="F321" s="2"/>
      <c r="G321" s="2"/>
      <c r="H321" s="2"/>
    </row>
    <row r="322" spans="1:8" hidden="1" x14ac:dyDescent="0.35">
      <c r="A322" s="2"/>
      <c r="B322" s="239"/>
      <c r="C322" s="2"/>
      <c r="D322" s="2"/>
      <c r="E322" s="2"/>
      <c r="F322" s="2"/>
      <c r="G322" s="2"/>
      <c r="H322" s="2"/>
    </row>
    <row r="323" spans="1:8" hidden="1" x14ac:dyDescent="0.35">
      <c r="A323" s="2"/>
      <c r="B323" s="44" t="s">
        <v>181</v>
      </c>
      <c r="C323" s="2"/>
      <c r="D323" s="2"/>
      <c r="E323" s="2"/>
      <c r="F323" s="2"/>
      <c r="G323" s="2"/>
      <c r="H323" s="2"/>
    </row>
    <row r="324" spans="1:8" hidden="1" x14ac:dyDescent="0.35">
      <c r="A324" s="2"/>
      <c r="B324" s="45" t="s">
        <v>9</v>
      </c>
      <c r="C324" s="2"/>
      <c r="D324" s="2"/>
      <c r="E324" s="2"/>
      <c r="F324" s="2"/>
      <c r="G324" s="2"/>
      <c r="H324" s="2"/>
    </row>
    <row r="325" spans="1:8" hidden="1" x14ac:dyDescent="0.35">
      <c r="A325" s="2"/>
      <c r="B325" s="46" t="s">
        <v>166</v>
      </c>
      <c r="C325" s="2"/>
      <c r="D325" s="2"/>
      <c r="E325" s="2"/>
      <c r="F325" s="2"/>
      <c r="G325" s="2"/>
      <c r="H325" s="2"/>
    </row>
    <row r="326" spans="1:8" hidden="1" x14ac:dyDescent="0.35">
      <c r="A326" s="2"/>
      <c r="B326" s="2"/>
      <c r="C326" s="2"/>
      <c r="D326" s="2"/>
      <c r="E326" s="2"/>
      <c r="F326" s="2"/>
      <c r="G326" s="2"/>
      <c r="H326" s="2"/>
    </row>
    <row r="327" spans="1:8" hidden="1" x14ac:dyDescent="0.35">
      <c r="A327" s="2"/>
      <c r="B327" s="254" t="s">
        <v>179</v>
      </c>
      <c r="C327" s="2"/>
      <c r="D327" s="2"/>
      <c r="E327" s="2"/>
      <c r="F327" s="2"/>
      <c r="G327" s="2"/>
      <c r="H327" s="2"/>
    </row>
    <row r="328" spans="1:8" hidden="1" x14ac:dyDescent="0.35">
      <c r="A328" s="2"/>
      <c r="B328" s="45" t="s">
        <v>73</v>
      </c>
      <c r="C328" s="2"/>
      <c r="D328" s="2"/>
      <c r="E328" s="2"/>
      <c r="F328" s="2"/>
      <c r="G328" s="2"/>
      <c r="H328" s="2"/>
    </row>
    <row r="329" spans="1:8" hidden="1" x14ac:dyDescent="0.35">
      <c r="A329" s="2"/>
      <c r="B329" s="45" t="s">
        <v>74</v>
      </c>
      <c r="C329" s="2"/>
      <c r="D329" s="2"/>
      <c r="E329" s="2"/>
      <c r="F329" s="2"/>
      <c r="G329" s="2"/>
      <c r="H329" s="2"/>
    </row>
    <row r="330" spans="1:8" hidden="1" x14ac:dyDescent="0.35">
      <c r="A330" s="2"/>
      <c r="B330" s="45" t="s">
        <v>75</v>
      </c>
      <c r="C330" s="2"/>
      <c r="D330" s="2"/>
      <c r="E330" s="2"/>
      <c r="F330" s="2"/>
      <c r="G330" s="2"/>
      <c r="H330" s="2"/>
    </row>
    <row r="331" spans="1:8" hidden="1" x14ac:dyDescent="0.35">
      <c r="A331" s="2"/>
      <c r="B331" s="45" t="s">
        <v>76</v>
      </c>
      <c r="C331" s="2"/>
      <c r="D331" s="2"/>
      <c r="E331" s="2"/>
      <c r="F331" s="2"/>
      <c r="G331" s="2"/>
      <c r="H331" s="2"/>
    </row>
    <row r="332" spans="1:8" hidden="1" x14ac:dyDescent="0.35">
      <c r="A332" s="2"/>
      <c r="B332" s="45" t="s">
        <v>77</v>
      </c>
      <c r="C332" s="2"/>
      <c r="D332" s="2"/>
      <c r="E332" s="2"/>
      <c r="F332" s="2"/>
      <c r="G332" s="2"/>
      <c r="H332" s="2"/>
    </row>
    <row r="333" spans="1:8" hidden="1" x14ac:dyDescent="0.35">
      <c r="A333" s="2"/>
      <c r="B333" s="46" t="s">
        <v>62</v>
      </c>
      <c r="C333" s="2"/>
      <c r="D333" s="2"/>
      <c r="E333" s="2"/>
      <c r="F333" s="2"/>
      <c r="G333" s="2"/>
      <c r="H333" s="2"/>
    </row>
    <row r="334" spans="1:8" hidden="1" x14ac:dyDescent="0.35">
      <c r="A334" s="2"/>
      <c r="B334" s="2"/>
      <c r="C334" s="2"/>
      <c r="D334" s="2"/>
      <c r="E334" s="2"/>
      <c r="F334" s="2"/>
      <c r="G334" s="2"/>
      <c r="H334" s="2"/>
    </row>
    <row r="335" spans="1:8" hidden="1" x14ac:dyDescent="0.35">
      <c r="A335" s="2"/>
      <c r="B335" s="44">
        <v>0.6</v>
      </c>
      <c r="C335" s="2"/>
      <c r="D335" s="2"/>
      <c r="E335" s="2"/>
      <c r="F335" s="2"/>
      <c r="G335" s="2"/>
      <c r="H335" s="2"/>
    </row>
    <row r="336" spans="1:8" hidden="1" x14ac:dyDescent="0.35">
      <c r="A336" s="2"/>
      <c r="B336" s="45">
        <v>0.7</v>
      </c>
      <c r="C336" s="2"/>
      <c r="D336" s="2"/>
      <c r="E336" s="2"/>
      <c r="F336" s="2"/>
      <c r="G336" s="2"/>
      <c r="H336" s="2"/>
    </row>
    <row r="337" spans="1:8" hidden="1" x14ac:dyDescent="0.35">
      <c r="A337" s="2"/>
      <c r="B337" s="46">
        <v>1.8</v>
      </c>
      <c r="C337" s="2"/>
      <c r="D337" s="2"/>
      <c r="E337" s="2"/>
      <c r="F337" s="2"/>
      <c r="G337" s="2"/>
      <c r="H337" s="2"/>
    </row>
    <row r="338" spans="1:8" hidden="1" x14ac:dyDescent="0.35">
      <c r="A338" s="2"/>
      <c r="B338" s="239"/>
      <c r="C338" s="2"/>
      <c r="D338" s="2"/>
      <c r="E338" s="2"/>
      <c r="F338" s="2"/>
      <c r="G338" s="2"/>
      <c r="H338" s="2"/>
    </row>
    <row r="339" spans="1:8" hidden="1" x14ac:dyDescent="0.35">
      <c r="A339" s="2"/>
      <c r="B339" s="289" t="s">
        <v>179</v>
      </c>
      <c r="C339" s="2"/>
      <c r="D339" s="2"/>
      <c r="E339" s="2"/>
      <c r="F339" s="2"/>
      <c r="G339" s="2"/>
      <c r="H339" s="2"/>
    </row>
    <row r="340" spans="1:8" hidden="1" x14ac:dyDescent="0.35">
      <c r="A340" s="2"/>
      <c r="B340" s="290">
        <v>25</v>
      </c>
      <c r="C340" s="2"/>
      <c r="D340" s="2"/>
      <c r="E340" s="2"/>
      <c r="F340" s="2"/>
      <c r="G340" s="2"/>
      <c r="H340" s="2"/>
    </row>
    <row r="341" spans="1:8" hidden="1" x14ac:dyDescent="0.35">
      <c r="A341" s="2"/>
      <c r="B341" s="290">
        <v>35</v>
      </c>
      <c r="C341" s="2"/>
      <c r="D341" s="2"/>
      <c r="E341" s="2"/>
      <c r="F341" s="2"/>
      <c r="G341" s="2"/>
      <c r="H341" s="2"/>
    </row>
    <row r="342" spans="1:8" hidden="1" x14ac:dyDescent="0.35">
      <c r="A342" s="2"/>
      <c r="B342" s="291">
        <v>45</v>
      </c>
      <c r="C342" s="2"/>
      <c r="D342" s="2"/>
      <c r="E342" s="2"/>
      <c r="F342" s="2"/>
      <c r="G342" s="2"/>
      <c r="H342" s="2"/>
    </row>
    <row r="343" spans="1:8" hidden="1" x14ac:dyDescent="0.35">
      <c r="A343" s="2"/>
      <c r="B343" s="2"/>
      <c r="C343" s="2"/>
      <c r="D343" s="2"/>
      <c r="E343" s="2"/>
      <c r="F343" s="2"/>
      <c r="G343" s="2"/>
      <c r="H343" s="2"/>
    </row>
    <row r="344" spans="1:8" hidden="1" x14ac:dyDescent="0.35">
      <c r="A344" s="2"/>
      <c r="B344" s="2"/>
      <c r="C344" s="2"/>
      <c r="D344" s="2"/>
      <c r="E344" s="2"/>
      <c r="F344" s="2"/>
      <c r="G344" s="2"/>
      <c r="H344" s="2"/>
    </row>
    <row r="345" spans="1:8" x14ac:dyDescent="0.35">
      <c r="A345" s="2"/>
      <c r="B345" s="2"/>
      <c r="C345" s="2"/>
      <c r="D345" s="2"/>
      <c r="E345" s="2"/>
      <c r="F345" s="2"/>
      <c r="G345" s="2"/>
      <c r="H345" s="2"/>
    </row>
    <row r="346" spans="1:8" x14ac:dyDescent="0.35">
      <c r="A346" s="2"/>
      <c r="B346" s="2"/>
      <c r="C346" s="2"/>
      <c r="D346" s="2"/>
      <c r="E346" s="2"/>
      <c r="F346" s="2"/>
      <c r="G346" s="2"/>
      <c r="H346" s="2"/>
    </row>
    <row r="347" spans="1:8" x14ac:dyDescent="0.35">
      <c r="A347" s="2"/>
      <c r="B347" s="2"/>
      <c r="C347" s="2"/>
      <c r="D347" s="2"/>
      <c r="E347" s="2"/>
      <c r="F347" s="2"/>
      <c r="G347" s="2"/>
      <c r="H347" s="2"/>
    </row>
    <row r="348" spans="1:8" x14ac:dyDescent="0.35">
      <c r="A348" s="2"/>
      <c r="B348" s="2"/>
      <c r="C348" s="2"/>
      <c r="D348" s="2"/>
      <c r="E348" s="2"/>
      <c r="F348" s="2"/>
      <c r="G348" s="2"/>
      <c r="H348" s="2"/>
    </row>
    <row r="349" spans="1:8" x14ac:dyDescent="0.35">
      <c r="A349" s="2"/>
      <c r="B349" s="2"/>
      <c r="C349" s="2"/>
      <c r="D349" s="2"/>
      <c r="E349" s="2"/>
      <c r="F349" s="2"/>
      <c r="G349" s="2"/>
      <c r="H349" s="2"/>
    </row>
    <row r="350" spans="1:8" x14ac:dyDescent="0.35">
      <c r="A350" s="2"/>
      <c r="B350" s="2"/>
      <c r="C350" s="2"/>
      <c r="D350" s="2"/>
      <c r="E350" s="2"/>
      <c r="F350" s="2"/>
      <c r="G350" s="2"/>
      <c r="H350" s="2"/>
    </row>
    <row r="351" spans="1:8" x14ac:dyDescent="0.35">
      <c r="A351" s="2"/>
      <c r="B351" s="2"/>
      <c r="C351" s="2"/>
      <c r="D351" s="2"/>
      <c r="E351" s="2"/>
      <c r="F351" s="2"/>
      <c r="G351" s="2"/>
      <c r="H351" s="2"/>
    </row>
    <row r="352" spans="1:8" x14ac:dyDescent="0.35">
      <c r="A352" s="2"/>
      <c r="B352" s="2"/>
      <c r="C352" s="2"/>
      <c r="D352" s="2"/>
      <c r="E352" s="2"/>
      <c r="F352" s="2"/>
      <c r="G352" s="2"/>
      <c r="H352" s="2"/>
    </row>
    <row r="353" spans="1:8" x14ac:dyDescent="0.35">
      <c r="A353" s="2"/>
      <c r="B353" s="2"/>
      <c r="C353" s="2"/>
      <c r="D353" s="2"/>
      <c r="E353" s="2"/>
      <c r="F353" s="2"/>
      <c r="G353" s="2"/>
      <c r="H353" s="2"/>
    </row>
    <row r="354" spans="1:8" x14ac:dyDescent="0.35">
      <c r="A354" s="2"/>
      <c r="B354" s="2"/>
      <c r="C354" s="2"/>
      <c r="D354" s="2"/>
      <c r="E354" s="2"/>
      <c r="F354" s="2"/>
      <c r="G354" s="2"/>
      <c r="H354" s="2"/>
    </row>
    <row r="355" spans="1:8" x14ac:dyDescent="0.35">
      <c r="A355" s="2"/>
      <c r="B355" s="2"/>
      <c r="C355" s="2"/>
      <c r="D355" s="2"/>
      <c r="E355" s="2"/>
      <c r="F355" s="2"/>
      <c r="G355" s="2"/>
      <c r="H355" s="2"/>
    </row>
    <row r="356" spans="1:8" x14ac:dyDescent="0.35">
      <c r="A356" s="2"/>
      <c r="B356" s="2"/>
      <c r="C356" s="2"/>
      <c r="D356" s="2"/>
      <c r="E356" s="2"/>
      <c r="F356" s="2"/>
      <c r="G356" s="2"/>
      <c r="H356" s="2"/>
    </row>
    <row r="357" spans="1:8" x14ac:dyDescent="0.35">
      <c r="A357" s="2"/>
      <c r="B357" s="2"/>
      <c r="C357" s="2"/>
      <c r="D357" s="2"/>
      <c r="E357" s="2"/>
      <c r="F357" s="2"/>
      <c r="G357" s="2"/>
      <c r="H357" s="2"/>
    </row>
    <row r="358" spans="1:8" x14ac:dyDescent="0.35">
      <c r="A358" s="2"/>
      <c r="B358" s="2"/>
      <c r="C358" s="2"/>
      <c r="D358" s="2"/>
      <c r="E358" s="2"/>
      <c r="F358" s="2"/>
      <c r="G358" s="2"/>
      <c r="H358" s="2"/>
    </row>
    <row r="359" spans="1:8" x14ac:dyDescent="0.35">
      <c r="A359" s="2"/>
      <c r="B359" s="2"/>
      <c r="C359" s="2"/>
      <c r="D359" s="2"/>
      <c r="E359" s="2"/>
      <c r="F359" s="2"/>
      <c r="G359" s="2"/>
      <c r="H359" s="2"/>
    </row>
    <row r="360" spans="1:8" x14ac:dyDescent="0.35">
      <c r="A360" s="2"/>
      <c r="B360" s="2"/>
      <c r="C360" s="2"/>
      <c r="D360" s="2"/>
      <c r="E360" s="2"/>
      <c r="F360" s="2"/>
      <c r="G360" s="2"/>
      <c r="H360" s="2"/>
    </row>
    <row r="361" spans="1:8" x14ac:dyDescent="0.35">
      <c r="A361" s="2"/>
      <c r="C361" s="2"/>
      <c r="D361" s="2"/>
      <c r="E361" s="2"/>
      <c r="F361" s="2"/>
      <c r="G361" s="2"/>
      <c r="H361" s="2"/>
    </row>
    <row r="362" spans="1:8" x14ac:dyDescent="0.35">
      <c r="A362" s="2"/>
      <c r="C362" s="2"/>
      <c r="D362" s="2"/>
      <c r="E362" s="2"/>
      <c r="F362" s="2"/>
      <c r="G362" s="2"/>
      <c r="H362" s="2"/>
    </row>
    <row r="363" spans="1:8" x14ac:dyDescent="0.35">
      <c r="A363" s="2"/>
      <c r="C363" s="2"/>
      <c r="D363" s="2"/>
      <c r="E363" s="2"/>
      <c r="F363" s="2"/>
      <c r="G363" s="2"/>
      <c r="H363" s="2"/>
    </row>
    <row r="364" spans="1:8" x14ac:dyDescent="0.35">
      <c r="A364" s="2"/>
      <c r="C364" s="2"/>
      <c r="D364" s="2"/>
      <c r="E364" s="2"/>
      <c r="F364" s="2"/>
      <c r="G364" s="2"/>
      <c r="H364" s="2"/>
    </row>
    <row r="365" spans="1:8" x14ac:dyDescent="0.35">
      <c r="A365" s="2"/>
      <c r="C365" s="2"/>
      <c r="D365" s="2"/>
      <c r="E365" s="2"/>
      <c r="F365" s="2"/>
      <c r="G365" s="2"/>
      <c r="H365" s="2"/>
    </row>
    <row r="366" spans="1:8" x14ac:dyDescent="0.35">
      <c r="A366" s="2"/>
      <c r="B366" s="2"/>
      <c r="C366" s="2"/>
      <c r="D366" s="2"/>
      <c r="E366" s="2"/>
      <c r="F366" s="2"/>
      <c r="G366" s="2"/>
      <c r="H366" s="2"/>
    </row>
    <row r="367" spans="1:8" x14ac:dyDescent="0.35">
      <c r="A367" s="2"/>
      <c r="B367" s="2"/>
      <c r="C367" s="2"/>
      <c r="D367" s="2"/>
      <c r="E367" s="2"/>
      <c r="F367" s="2"/>
      <c r="G367" s="2"/>
      <c r="H367" s="2"/>
    </row>
    <row r="368" spans="1:8" x14ac:dyDescent="0.35">
      <c r="A368" s="2"/>
      <c r="B368" s="2"/>
      <c r="C368" s="2"/>
      <c r="D368" s="2"/>
      <c r="E368" s="2"/>
      <c r="F368" s="2"/>
      <c r="G368" s="2"/>
      <c r="H368" s="2"/>
    </row>
    <row r="369" spans="1:8" x14ac:dyDescent="0.35">
      <c r="A369" s="2"/>
      <c r="B369" s="2"/>
      <c r="C369" s="2"/>
      <c r="D369" s="2"/>
      <c r="E369" s="2"/>
      <c r="F369" s="2"/>
      <c r="G369" s="2"/>
      <c r="H369" s="2"/>
    </row>
    <row r="370" spans="1:8" x14ac:dyDescent="0.35">
      <c r="A370" s="2"/>
      <c r="B370" s="2"/>
      <c r="C370" s="2"/>
      <c r="D370" s="2"/>
      <c r="E370" s="2"/>
      <c r="F370" s="2"/>
      <c r="G370" s="2"/>
      <c r="H370" s="2"/>
    </row>
    <row r="371" spans="1:8" x14ac:dyDescent="0.35">
      <c r="A371" s="2"/>
      <c r="B371" s="2"/>
      <c r="C371" s="2"/>
      <c r="D371" s="2"/>
      <c r="E371" s="2"/>
      <c r="F371" s="2"/>
      <c r="G371" s="2"/>
      <c r="H371" s="2"/>
    </row>
    <row r="372" spans="1:8" x14ac:dyDescent="0.35">
      <c r="A372" s="2"/>
      <c r="B372" s="2"/>
      <c r="C372" s="2"/>
      <c r="D372" s="2"/>
      <c r="E372" s="2"/>
      <c r="F372" s="2"/>
      <c r="G372" s="2"/>
      <c r="H372" s="2"/>
    </row>
    <row r="373" spans="1:8" x14ac:dyDescent="0.35">
      <c r="A373" s="2"/>
      <c r="B373" s="2"/>
      <c r="C373" s="2"/>
      <c r="D373" s="2"/>
      <c r="E373" s="2"/>
      <c r="F373" s="2"/>
      <c r="G373" s="2"/>
      <c r="H373" s="2"/>
    </row>
    <row r="374" spans="1:8" x14ac:dyDescent="0.35">
      <c r="A374" s="2"/>
      <c r="B374" s="2"/>
      <c r="C374" s="2"/>
      <c r="D374" s="2"/>
      <c r="E374" s="2"/>
      <c r="F374" s="2"/>
      <c r="G374" s="2"/>
      <c r="H374" s="2"/>
    </row>
    <row r="375" spans="1:8" x14ac:dyDescent="0.35">
      <c r="A375" s="2"/>
      <c r="B375" s="2"/>
      <c r="C375" s="2"/>
      <c r="D375" s="2"/>
      <c r="E375" s="2"/>
      <c r="F375" s="2"/>
      <c r="G375" s="2"/>
      <c r="H375" s="2"/>
    </row>
    <row r="376" spans="1:8" x14ac:dyDescent="0.35">
      <c r="A376" s="2"/>
      <c r="B376" s="2"/>
      <c r="C376" s="2"/>
      <c r="D376" s="2"/>
      <c r="E376" s="2"/>
      <c r="F376" s="2"/>
      <c r="G376" s="2"/>
      <c r="H376" s="2"/>
    </row>
    <row r="377" spans="1:8" x14ac:dyDescent="0.35">
      <c r="A377" s="2"/>
      <c r="B377" s="2"/>
      <c r="C377" s="2"/>
      <c r="D377" s="2"/>
      <c r="E377" s="2"/>
      <c r="F377" s="2"/>
      <c r="G377" s="2"/>
      <c r="H377" s="2"/>
    </row>
    <row r="378" spans="1:8" x14ac:dyDescent="0.35">
      <c r="A378" s="2"/>
      <c r="B378" s="2"/>
      <c r="C378" s="2"/>
      <c r="D378" s="2"/>
      <c r="E378" s="2"/>
      <c r="F378" s="2"/>
      <c r="G378" s="2"/>
      <c r="H378" s="2"/>
    </row>
    <row r="379" spans="1:8" x14ac:dyDescent="0.35">
      <c r="A379" s="2"/>
      <c r="B379" s="2"/>
      <c r="C379" s="2"/>
      <c r="D379" s="2"/>
      <c r="E379" s="2"/>
      <c r="F379" s="2"/>
      <c r="G379" s="2"/>
      <c r="H379" s="2"/>
    </row>
    <row r="380" spans="1:8" x14ac:dyDescent="0.35">
      <c r="A380" s="2"/>
      <c r="B380" s="2"/>
      <c r="C380" s="2"/>
      <c r="D380" s="2"/>
      <c r="E380" s="2"/>
      <c r="F380" s="2"/>
      <c r="G380" s="2"/>
      <c r="H380" s="2"/>
    </row>
    <row r="381" spans="1:8" x14ac:dyDescent="0.35">
      <c r="A381" s="2"/>
      <c r="B381" s="2"/>
      <c r="C381" s="2"/>
      <c r="D381" s="2"/>
      <c r="E381" s="2"/>
      <c r="F381" s="2"/>
      <c r="G381" s="2"/>
      <c r="H381" s="2"/>
    </row>
  </sheetData>
  <mergeCells count="258">
    <mergeCell ref="B271:E271"/>
    <mergeCell ref="A267:H267"/>
    <mergeCell ref="E186:H186"/>
    <mergeCell ref="B115:D115"/>
    <mergeCell ref="B114:D114"/>
    <mergeCell ref="A200:D200"/>
    <mergeCell ref="A208:D208"/>
    <mergeCell ref="A171:D171"/>
    <mergeCell ref="A193:D193"/>
    <mergeCell ref="G193:H193"/>
    <mergeCell ref="A196:D196"/>
    <mergeCell ref="A197:D197"/>
    <mergeCell ref="E163:F163"/>
    <mergeCell ref="G163:H163"/>
    <mergeCell ref="G234:H234"/>
    <mergeCell ref="A224:D224"/>
    <mergeCell ref="A225:D225"/>
    <mergeCell ref="A192:H192"/>
    <mergeCell ref="A194:D194"/>
    <mergeCell ref="A195:D195"/>
    <mergeCell ref="A239:F239"/>
    <mergeCell ref="E222:F222"/>
    <mergeCell ref="B207:D207"/>
    <mergeCell ref="G254:H254"/>
    <mergeCell ref="B277:F277"/>
    <mergeCell ref="A275:H275"/>
    <mergeCell ref="A212:D212"/>
    <mergeCell ref="B218:D218"/>
    <mergeCell ref="B229:D229"/>
    <mergeCell ref="B107:D107"/>
    <mergeCell ref="B108:D108"/>
    <mergeCell ref="B284:F284"/>
    <mergeCell ref="E54:F54"/>
    <mergeCell ref="E55:F55"/>
    <mergeCell ref="A281:A282"/>
    <mergeCell ref="A277:A279"/>
    <mergeCell ref="E212:F212"/>
    <mergeCell ref="G212:H212"/>
    <mergeCell ref="B280:F280"/>
    <mergeCell ref="B278:F278"/>
    <mergeCell ref="B279:F279"/>
    <mergeCell ref="B281:F281"/>
    <mergeCell ref="B282:F282"/>
    <mergeCell ref="B125:D125"/>
    <mergeCell ref="A183:H183"/>
    <mergeCell ref="A186:D186"/>
    <mergeCell ref="E184:H184"/>
    <mergeCell ref="E185:H185"/>
    <mergeCell ref="K51:L51"/>
    <mergeCell ref="M51:N51"/>
    <mergeCell ref="E66:F66"/>
    <mergeCell ref="G66:H66"/>
    <mergeCell ref="E94:F94"/>
    <mergeCell ref="A52:H52"/>
    <mergeCell ref="A53:H53"/>
    <mergeCell ref="B94:D94"/>
    <mergeCell ref="E75:F75"/>
    <mergeCell ref="A73:H73"/>
    <mergeCell ref="A72:B72"/>
    <mergeCell ref="C72:H72"/>
    <mergeCell ref="A71:H71"/>
    <mergeCell ref="A93:H93"/>
    <mergeCell ref="G94:H94"/>
    <mergeCell ref="E88:F88"/>
    <mergeCell ref="A77:D77"/>
    <mergeCell ref="E77:F77"/>
    <mergeCell ref="G77:H77"/>
    <mergeCell ref="A76:B76"/>
    <mergeCell ref="E76:F76"/>
    <mergeCell ref="A75:B75"/>
    <mergeCell ref="A1:H1"/>
    <mergeCell ref="A162:H162"/>
    <mergeCell ref="A90:D90"/>
    <mergeCell ref="A91:D91"/>
    <mergeCell ref="A11:B11"/>
    <mergeCell ref="A62:H62"/>
    <mergeCell ref="A84:H84"/>
    <mergeCell ref="D11:H11"/>
    <mergeCell ref="B99:D99"/>
    <mergeCell ref="A36:B36"/>
    <mergeCell ref="A32:B32"/>
    <mergeCell ref="A51:H51"/>
    <mergeCell ref="B121:D121"/>
    <mergeCell ref="B122:D122"/>
    <mergeCell ref="B123:D123"/>
    <mergeCell ref="B124:D124"/>
    <mergeCell ref="A57:H57"/>
    <mergeCell ref="A63:H63"/>
    <mergeCell ref="A67:D67"/>
    <mergeCell ref="A68:D68"/>
    <mergeCell ref="B116:D116"/>
    <mergeCell ref="B117:D117"/>
    <mergeCell ref="B120:D120"/>
    <mergeCell ref="B111:D111"/>
    <mergeCell ref="B98:D98"/>
    <mergeCell ref="A88:D88"/>
    <mergeCell ref="A83:B83"/>
    <mergeCell ref="C83:H83"/>
    <mergeCell ref="A86:B86"/>
    <mergeCell ref="A87:B87"/>
    <mergeCell ref="E87:F87"/>
    <mergeCell ref="A80:D80"/>
    <mergeCell ref="A79:D79"/>
    <mergeCell ref="B102:D102"/>
    <mergeCell ref="B104:D104"/>
    <mergeCell ref="B105:D105"/>
    <mergeCell ref="B106:D106"/>
    <mergeCell ref="A184:D184"/>
    <mergeCell ref="A185:D185"/>
    <mergeCell ref="B112:D112"/>
    <mergeCell ref="B113:D113"/>
    <mergeCell ref="B109:D109"/>
    <mergeCell ref="B110:D110"/>
    <mergeCell ref="A163:D163"/>
    <mergeCell ref="B118:D118"/>
    <mergeCell ref="A20:F20"/>
    <mergeCell ref="A21:F21"/>
    <mergeCell ref="G88:H88"/>
    <mergeCell ref="A89:D89"/>
    <mergeCell ref="A39:H39"/>
    <mergeCell ref="A40:B40"/>
    <mergeCell ref="A41:B41"/>
    <mergeCell ref="A42:B42"/>
    <mergeCell ref="E40:F40"/>
    <mergeCell ref="E41:F41"/>
    <mergeCell ref="E42:F42"/>
    <mergeCell ref="A69:D69"/>
    <mergeCell ref="A66:D66"/>
    <mergeCell ref="C61:H61"/>
    <mergeCell ref="A61:B61"/>
    <mergeCell ref="A85:H85"/>
    <mergeCell ref="E86:F86"/>
    <mergeCell ref="A33:B33"/>
    <mergeCell ref="A34:B34"/>
    <mergeCell ref="A35:B35"/>
    <mergeCell ref="A78:D78"/>
    <mergeCell ref="A82:H82"/>
    <mergeCell ref="C32:D32"/>
    <mergeCell ref="A248:G248"/>
    <mergeCell ref="A249:G249"/>
    <mergeCell ref="A3:H3"/>
    <mergeCell ref="D8:E8"/>
    <mergeCell ref="F8:G8"/>
    <mergeCell ref="A7:E7"/>
    <mergeCell ref="F7:G7"/>
    <mergeCell ref="A15:G15"/>
    <mergeCell ref="B16:G16"/>
    <mergeCell ref="A31:H31"/>
    <mergeCell ref="A29:H29"/>
    <mergeCell ref="A30:F30"/>
    <mergeCell ref="A26:H26"/>
    <mergeCell ref="A27:H27"/>
    <mergeCell ref="F4:G4"/>
    <mergeCell ref="B5:H5"/>
    <mergeCell ref="A12:C12"/>
    <mergeCell ref="D12:H12"/>
    <mergeCell ref="A10:C10"/>
    <mergeCell ref="D10:H10"/>
    <mergeCell ref="D13:H13"/>
    <mergeCell ref="A47:H47"/>
    <mergeCell ref="A48:H48"/>
    <mergeCell ref="A44:H44"/>
    <mergeCell ref="A236:F236"/>
    <mergeCell ref="A237:F237"/>
    <mergeCell ref="B273:E273"/>
    <mergeCell ref="B270:E270"/>
    <mergeCell ref="B283:F283"/>
    <mergeCell ref="A206:D206"/>
    <mergeCell ref="A221:H221"/>
    <mergeCell ref="E33:F33"/>
    <mergeCell ref="E34:F34"/>
    <mergeCell ref="E35:F35"/>
    <mergeCell ref="E36:F36"/>
    <mergeCell ref="A164:D164"/>
    <mergeCell ref="A165:D165"/>
    <mergeCell ref="A168:D168"/>
    <mergeCell ref="A170:D170"/>
    <mergeCell ref="A55:B55"/>
    <mergeCell ref="E64:F64"/>
    <mergeCell ref="A64:B64"/>
    <mergeCell ref="A54:B54"/>
    <mergeCell ref="C54:D54"/>
    <mergeCell ref="G54:H54"/>
    <mergeCell ref="A65:B65"/>
    <mergeCell ref="E65:F65"/>
    <mergeCell ref="A198:D198"/>
    <mergeCell ref="B272:E272"/>
    <mergeCell ref="A250:G250"/>
    <mergeCell ref="A251:G251"/>
    <mergeCell ref="A247:H247"/>
    <mergeCell ref="B269:E269"/>
    <mergeCell ref="A202:H202"/>
    <mergeCell ref="A211:H211"/>
    <mergeCell ref="A216:D216"/>
    <mergeCell ref="A217:D217"/>
    <mergeCell ref="A215:D215"/>
    <mergeCell ref="A214:D214"/>
    <mergeCell ref="A213:D213"/>
    <mergeCell ref="A219:D219"/>
    <mergeCell ref="A203:D203"/>
    <mergeCell ref="A204:D204"/>
    <mergeCell ref="E203:F203"/>
    <mergeCell ref="A238:F238"/>
    <mergeCell ref="A240:F240"/>
    <mergeCell ref="A241:F241"/>
    <mergeCell ref="A234:F234"/>
    <mergeCell ref="C244:F244"/>
    <mergeCell ref="A235:F235"/>
    <mergeCell ref="A253:H253"/>
    <mergeCell ref="E254:F254"/>
    <mergeCell ref="G32:H32"/>
    <mergeCell ref="A58:H58"/>
    <mergeCell ref="A60:H60"/>
    <mergeCell ref="A230:D230"/>
    <mergeCell ref="G222:H222"/>
    <mergeCell ref="E193:F193"/>
    <mergeCell ref="F128:H128"/>
    <mergeCell ref="C128:E128"/>
    <mergeCell ref="A127:H127"/>
    <mergeCell ref="E180:F180"/>
    <mergeCell ref="E181:F181"/>
    <mergeCell ref="A180:D180"/>
    <mergeCell ref="A181:D181"/>
    <mergeCell ref="A179:H179"/>
    <mergeCell ref="A226:D226"/>
    <mergeCell ref="A227:D227"/>
    <mergeCell ref="A228:D228"/>
    <mergeCell ref="G203:H203"/>
    <mergeCell ref="A205:D205"/>
    <mergeCell ref="B103:D103"/>
    <mergeCell ref="B119:D119"/>
    <mergeCell ref="A45:F45"/>
    <mergeCell ref="B100:D100"/>
    <mergeCell ref="B101:D101"/>
    <mergeCell ref="A244:B244"/>
    <mergeCell ref="B199:D199"/>
    <mergeCell ref="B95:D95"/>
    <mergeCell ref="B96:D96"/>
    <mergeCell ref="B97:D97"/>
    <mergeCell ref="A269:A271"/>
    <mergeCell ref="A283:A284"/>
    <mergeCell ref="A169:D169"/>
    <mergeCell ref="A173:H173"/>
    <mergeCell ref="A174:G174"/>
    <mergeCell ref="A176:H176"/>
    <mergeCell ref="A177:H177"/>
    <mergeCell ref="A256:C256"/>
    <mergeCell ref="A257:C257"/>
    <mergeCell ref="A258:C258"/>
    <mergeCell ref="A259:C259"/>
    <mergeCell ref="A260:C260"/>
    <mergeCell ref="G262:H262"/>
    <mergeCell ref="A262:C262"/>
    <mergeCell ref="A261:F261"/>
    <mergeCell ref="G241:H241"/>
    <mergeCell ref="A242:F242"/>
    <mergeCell ref="A243:F243"/>
    <mergeCell ref="A245:F245"/>
  </mergeCells>
  <dataValidations count="11">
    <dataValidation type="list" allowBlank="1" showInputMessage="1" sqref="H180" xr:uid="{00000000-0002-0000-0000-000000000000}">
      <formula1>$B$304:$B$306</formula1>
    </dataValidation>
    <dataValidation type="list" allowBlank="1" showInputMessage="1" sqref="F9" xr:uid="{00000000-0002-0000-0000-000001000000}">
      <formula1>$B$294:$B$298</formula1>
    </dataValidation>
    <dataValidation type="list" allowBlank="1" showInputMessage="1" sqref="D55:D56 H55:H56" xr:uid="{00000000-0002-0000-0000-000002000000}">
      <formula1>$B$323:$B$325</formula1>
    </dataValidation>
    <dataValidation type="list" allowBlank="1" showInputMessage="1" showErrorMessage="1" sqref="C54:D54 G54:H54" xr:uid="{00000000-0002-0000-0000-000003000000}">
      <formula1>$B$318:$B$321</formula1>
    </dataValidation>
    <dataValidation type="list" allowBlank="1" showInputMessage="1" sqref="E184:H184" xr:uid="{00000000-0002-0000-0000-000004000000}">
      <formula1>$B$310:$B$312</formula1>
    </dataValidation>
    <dataValidation type="list" allowBlank="1" showInputMessage="1" sqref="E185:H185" xr:uid="{00000000-0002-0000-0000-000005000000}">
      <formula1>$B$314:$B$316</formula1>
    </dataValidation>
    <dataValidation type="list" allowBlank="1" showInputMessage="1" sqref="E186:H186" xr:uid="{00000000-0002-0000-0000-000006000000}">
      <formula1>$B$327:$B$333</formula1>
    </dataValidation>
    <dataValidation type="list" allowBlank="1" showInputMessage="1" sqref="F8:G8" xr:uid="{00000000-0002-0000-0000-000007000000}">
      <formula1>$B$293:$B$298</formula1>
    </dataValidation>
    <dataValidation type="list" allowBlank="1" showInputMessage="1" sqref="E180:F180" xr:uid="{00000000-0002-0000-0000-000008000000}">
      <formula1>$B$299:$B$301</formula1>
    </dataValidation>
    <dataValidation type="list" allowBlank="1" showInputMessage="1" sqref="D256:D258" xr:uid="{00000000-0002-0000-0000-000009000000}">
      <formula1>$B$335:$B$337</formula1>
    </dataValidation>
    <dataValidation type="list" allowBlank="1" showInputMessage="1" showErrorMessage="1" sqref="G269" xr:uid="{00000000-0002-0000-0000-00000A000000}">
      <formula1>$B$339:$B$342</formula1>
    </dataValidation>
  </dataValidations>
  <pageMargins left="0.70866141732283505" right="0.70866141732283505" top="0.74803149606299202" bottom="0.74803149606299202" header="0.31496062992126" footer="0.31496062992126"/>
  <pageSetup paperSize="9"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Option Button 34">
              <controlPr defaultSize="0" autoLine="0" autoPict="0" macro="[0]!visa_skola">
                <anchor moveWithCells="1">
                  <from>
                    <xdr:col>0</xdr:col>
                    <xdr:colOff>1441450</xdr:colOff>
                    <xdr:row>4</xdr:row>
                    <xdr:rowOff>12700</xdr:rowOff>
                  </from>
                  <to>
                    <xdr:col>1</xdr:col>
                    <xdr:colOff>628650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Option Button 35">
              <controlPr defaultSize="0" autoLine="0" autoPict="0" macro="[0]!Visa_fsk">
                <anchor moveWithCells="1">
                  <from>
                    <xdr:col>1</xdr:col>
                    <xdr:colOff>933450</xdr:colOff>
                    <xdr:row>4</xdr:row>
                    <xdr:rowOff>12700</xdr:rowOff>
                  </from>
                  <to>
                    <xdr:col>1</xdr:col>
                    <xdr:colOff>1822450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Option Button 36">
              <controlPr defaultSize="0" autoLine="0" autoPict="0" macro="[0]!Visa_BmSS">
                <anchor moveWithCells="1">
                  <from>
                    <xdr:col>1</xdr:col>
                    <xdr:colOff>2108200</xdr:colOff>
                    <xdr:row>4</xdr:row>
                    <xdr:rowOff>12700</xdr:rowOff>
                  </from>
                  <to>
                    <xdr:col>3</xdr:col>
                    <xdr:colOff>533400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Option Button 37">
              <controlPr defaultSize="0" autoLine="0" autoPict="0" macro="[0]!visa_aldreboende">
                <anchor moveWithCells="1">
                  <from>
                    <xdr:col>3</xdr:col>
                    <xdr:colOff>946150</xdr:colOff>
                    <xdr:row>4</xdr:row>
                    <xdr:rowOff>12700</xdr:rowOff>
                  </from>
                  <to>
                    <xdr:col>6</xdr:col>
                    <xdr:colOff>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8" name="Option Button 43">
              <controlPr defaultSize="0" autoLine="0" autoPict="0" macro="[0]!visa_alla_verks">
                <anchor moveWithCells="1">
                  <from>
                    <xdr:col>6</xdr:col>
                    <xdr:colOff>203200</xdr:colOff>
                    <xdr:row>4</xdr:row>
                    <xdr:rowOff>12700</xdr:rowOff>
                  </from>
                  <to>
                    <xdr:col>7</xdr:col>
                    <xdr:colOff>685800</xdr:colOff>
                    <xdr:row>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9" name="Option Button 52">
              <controlPr defaultSize="0" autoLine="0" autoPict="0" macro="[0]!visa_1lb">
                <anchor moveWithCells="1">
                  <from>
                    <xdr:col>1</xdr:col>
                    <xdr:colOff>1346200</xdr:colOff>
                    <xdr:row>57</xdr:row>
                    <xdr:rowOff>12700</xdr:rowOff>
                  </from>
                  <to>
                    <xdr:col>1</xdr:col>
                    <xdr:colOff>1784350</xdr:colOff>
                    <xdr:row>57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0" name="Option Button 53">
              <controlPr defaultSize="0" autoLine="0" autoPict="0" macro="[0]!visa_2lb">
                <anchor moveWithCells="1">
                  <from>
                    <xdr:col>1</xdr:col>
                    <xdr:colOff>1879600</xdr:colOff>
                    <xdr:row>57</xdr:row>
                    <xdr:rowOff>19050</xdr:rowOff>
                  </from>
                  <to>
                    <xdr:col>2</xdr:col>
                    <xdr:colOff>241300</xdr:colOff>
                    <xdr:row>57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1" name="Option Button 54">
              <controlPr defaultSize="0" autoLine="0" autoPict="0" macro="[0]!visa_3lb">
                <anchor moveWithCells="1">
                  <from>
                    <xdr:col>2</xdr:col>
                    <xdr:colOff>298450</xdr:colOff>
                    <xdr:row>57</xdr:row>
                    <xdr:rowOff>12700</xdr:rowOff>
                  </from>
                  <to>
                    <xdr:col>2</xdr:col>
                    <xdr:colOff>800100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2" name="Option Button 67">
              <controlPr defaultSize="0" autoLine="0" autoPict="0">
                <anchor moveWithCells="1">
                  <from>
                    <xdr:col>1</xdr:col>
                    <xdr:colOff>1790700</xdr:colOff>
                    <xdr:row>46</xdr:row>
                    <xdr:rowOff>222250</xdr:rowOff>
                  </from>
                  <to>
                    <xdr:col>4</xdr:col>
                    <xdr:colOff>374650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13" name="Option Button 68">
              <controlPr defaultSize="0" autoLine="0" autoPict="0">
                <anchor moveWithCells="1">
                  <from>
                    <xdr:col>4</xdr:col>
                    <xdr:colOff>412750</xdr:colOff>
                    <xdr:row>47</xdr:row>
                    <xdr:rowOff>31750</xdr:rowOff>
                  </from>
                  <to>
                    <xdr:col>5</xdr:col>
                    <xdr:colOff>603250</xdr:colOff>
                    <xdr:row>47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14" name="Option Button 69">
              <controlPr defaultSize="0" autoLine="0" autoPict="0">
                <anchor moveWithCells="1">
                  <from>
                    <xdr:col>5</xdr:col>
                    <xdr:colOff>488950</xdr:colOff>
                    <xdr:row>47</xdr:row>
                    <xdr:rowOff>12700</xdr:rowOff>
                  </from>
                  <to>
                    <xdr:col>6</xdr:col>
                    <xdr:colOff>527050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5" name="Option Button 76">
              <controlPr defaultSize="0" autoLine="0" autoPict="0">
                <anchor moveWithCells="1">
                  <from>
                    <xdr:col>6</xdr:col>
                    <xdr:colOff>628650</xdr:colOff>
                    <xdr:row>47</xdr:row>
                    <xdr:rowOff>12700</xdr:rowOff>
                  </from>
                  <to>
                    <xdr:col>7</xdr:col>
                    <xdr:colOff>927100</xdr:colOff>
                    <xdr:row>48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</vt:i4>
      </vt:variant>
      <vt:variant>
        <vt:lpstr>Namngivna områden</vt:lpstr>
      </vt:variant>
      <vt:variant>
        <vt:i4>3</vt:i4>
      </vt:variant>
    </vt:vector>
  </HeadingPairs>
  <TitlesOfParts>
    <vt:vector size="4" baseType="lpstr">
      <vt:lpstr>Blad1</vt:lpstr>
      <vt:lpstr>Blad1!_Hlk502657294</vt:lpstr>
      <vt:lpstr>Blad1!_Hlk504034660</vt:lpstr>
      <vt:lpstr>Blad1!Utskriftsområde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peter.2.olsson@lf.goteborg.se</dc:creator>
  <cp:keywords/>
  <dc:description/>
  <cp:lastModifiedBy>Hanao Azad</cp:lastModifiedBy>
  <cp:lastPrinted>2021-10-08T13:28:11Z</cp:lastPrinted>
  <dcterms:created xsi:type="dcterms:W3CDTF">2019-10-30T08:11:57Z</dcterms:created>
  <dcterms:modified xsi:type="dcterms:W3CDTF">2024-11-04T10:13:29Z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le">
    <vt:lpwstr>Mall för energiberäkning</vt:lpwstr>
  </property>
  <property fmtid="{D5CDD505-2E9C-101B-9397-08002B2CF9AE}" pid="3" name="DocumentType">
    <vt:lpwstr>Tekniskt dokument</vt:lpwstr>
  </property>
  <property fmtid="{D5CDD505-2E9C-101B-9397-08002B2CF9AE}" pid="4" name="Prefix">
    <vt:lpwstr>RA</vt:lpwstr>
  </property>
  <property fmtid="{D5CDD505-2E9C-101B-9397-08002B2CF9AE}" pid="5" name="Number">
    <vt:lpwstr>1841</vt:lpwstr>
  </property>
  <property fmtid="{D5CDD505-2E9C-101B-9397-08002B2CF9AE}" pid="6" name="Version">
    <vt:i4>19</vt:i4>
  </property>
  <property fmtid="{D5CDD505-2E9C-101B-9397-08002B2CF9AE}" pid="7" name="Draft">
    <vt:i4>0</vt:i4>
  </property>
  <property fmtid="{D5CDD505-2E9C-101B-9397-08002B2CF9AE}" pid="8" name="SecurityLevel">
    <vt:i4>1</vt:i4>
  </property>
  <property fmtid="{D5CDD505-2E9C-101B-9397-08002B2CF9AE}" pid="9" name="IsPublished">
    <vt:bool>true</vt:bool>
  </property>
  <property fmtid="{D5CDD505-2E9C-101B-9397-08002B2CF9AE}" pid="10" name="IsCheckedOut">
    <vt:bool>false</vt:bool>
  </property>
  <property fmtid="{D5CDD505-2E9C-101B-9397-08002B2CF9AE}" pid="11" name="AlarmDate">
    <vt:filetime>2024-12-12T00:00:00Z</vt:filetime>
  </property>
  <property fmtid="{D5CDD505-2E9C-101B-9397-08002B2CF9AE}" pid="12" name="CreateDate">
    <vt:filetime>2014-05-12T13:14:11Z</vt:filetime>
  </property>
  <property fmtid="{D5CDD505-2E9C-101B-9397-08002B2CF9AE}" pid="13" name="PublishDate">
    <vt:filetime>2024-01-12T09:42:06Z</vt:filetime>
  </property>
  <property fmtid="{D5CDD505-2E9C-101B-9397-08002B2CF9AE}" pid="14" name="ArchivedDescription">
    <vt:lpwstr/>
  </property>
  <property fmtid="{D5CDD505-2E9C-101B-9397-08002B2CF9AE}" pid="15" name="ChangeDescription">
    <vt:lpwstr>Årsuppdatering, TKA2024</vt:lpwstr>
  </property>
  <property fmtid="{D5CDD505-2E9C-101B-9397-08002B2CF9AE}" pid="16" name="Creator">
    <vt:lpwstr>Johan Edlund</vt:lpwstr>
  </property>
  <property fmtid="{D5CDD505-2E9C-101B-9397-08002B2CF9AE}" pid="17" name="Language">
    <vt:lpwstr>Stadsfastigheter</vt:lpwstr>
  </property>
  <property fmtid="{D5CDD505-2E9C-101B-9397-08002B2CF9AE}" pid="18" name="RoleDistributör">
    <vt:lpwstr/>
  </property>
  <property fmtid="{D5CDD505-2E9C-101B-9397-08002B2CF9AE}" pid="19" name="RoleSkapare">
    <vt:lpwstr>Peter Olsson</vt:lpwstr>
  </property>
  <property fmtid="{D5CDD505-2E9C-101B-9397-08002B2CF9AE}" pid="20" name="RoleGranskare">
    <vt:lpwstr>Dan Ervall</vt:lpwstr>
  </property>
  <property fmtid="{D5CDD505-2E9C-101B-9397-08002B2CF9AE}" pid="21" name="RoleFastställare">
    <vt:lpwstr>Lars Mauritzson</vt:lpwstr>
  </property>
  <property fmtid="{D5CDD505-2E9C-101B-9397-08002B2CF9AE}" pid="22" name="RoleDokumentansvarig">
    <vt:lpwstr>Peter Olsson</vt:lpwstr>
  </property>
  <property fmtid="{D5CDD505-2E9C-101B-9397-08002B2CF9AE}" pid="23" name="RoleAnvändare">
    <vt:lpwstr>Stadsfastigheter</vt:lpwstr>
  </property>
  <property fmtid="{D5CDD505-2E9C-101B-9397-08002B2CF9AE}" pid="24" name="RoleController">
    <vt:lpwstr>Linda Eklund</vt:lpwstr>
  </property>
  <property fmtid="{D5CDD505-2E9C-101B-9397-08002B2CF9AE}" pid="25" name="MetadataProcess">
    <vt:lpwstr/>
  </property>
  <property fmtid="{D5CDD505-2E9C-101B-9397-08002B2CF9AE}" pid="26" name="MetadataDelprocess">
    <vt:lpwstr/>
  </property>
  <property fmtid="{D5CDD505-2E9C-101B-9397-08002B2CF9AE}" pid="27" name="MetadataTyp av tekniskt dokument">
    <vt:lpwstr>Mall</vt:lpwstr>
  </property>
  <property fmtid="{D5CDD505-2E9C-101B-9397-08002B2CF9AE}" pid="28" name="MetadataTekniska områden">
    <vt:lpwstr>Tekniska krav och anvisningar</vt:lpwstr>
  </property>
  <property fmtid="{D5CDD505-2E9C-101B-9397-08002B2CF9AE}" pid="29" name="MetadataDelområde">
    <vt:lpwstr>Energi</vt:lpwstr>
  </property>
  <property fmtid="{D5CDD505-2E9C-101B-9397-08002B2CF9AE}" pid="30" name="MetadataTyp av projekt">
    <vt:lpwstr>Nybyggnad</vt:lpwstr>
  </property>
  <property fmtid="{D5CDD505-2E9C-101B-9397-08002B2CF9AE}" pid="31" name="MetadataTyp av verksamhet">
    <vt:lpwstr>Bostad med särskild service, Förskola, Grundskola, Gymnasieskola, Kontor, Vård och omsorgsboende</vt:lpwstr>
  </property>
  <property fmtid="{D5CDD505-2E9C-101B-9397-08002B2CF9AE}" pid="32" name="MetadataAnge vilka organisationers konsulter som dokumetet ska vara tillgängligt för.">
    <vt:lpwstr>Stadsfastigheter</vt:lpwstr>
  </property>
  <property fmtid="{D5CDD505-2E9C-101B-9397-08002B2CF9AE}" pid="33" name="MetadataVal av organisation">
    <vt:lpwstr>Stadsfastigheter</vt:lpwstr>
  </property>
  <property fmtid="{D5CDD505-2E9C-101B-9397-08002B2CF9AE}" pid="34" name="MetadataDokumentansvarig">
    <vt:lpwstr>Peter Olsson</vt:lpwstr>
  </property>
  <property fmtid="{D5CDD505-2E9C-101B-9397-08002B2CF9AE}" pid="35" name="MetadataGranskare">
    <vt:lpwstr>Dan Ervall</vt:lpwstr>
  </property>
  <property fmtid="{D5CDD505-2E9C-101B-9397-08002B2CF9AE}" pid="36" name="MetadataFastställare">
    <vt:lpwstr>Lars Mauritzson</vt:lpwstr>
  </property>
  <property fmtid="{D5CDD505-2E9C-101B-9397-08002B2CF9AE}" pid="37" name="MetadataController">
    <vt:lpwstr>Linda Eklund</vt:lpwstr>
  </property>
</Properties>
</file>